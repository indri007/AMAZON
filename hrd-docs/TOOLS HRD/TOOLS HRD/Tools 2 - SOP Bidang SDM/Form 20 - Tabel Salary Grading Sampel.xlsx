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15195" windowHeight="8700"/>
  </bookViews>
  <sheets>
    <sheet name="Skor " sheetId="1" r:id="rId1"/>
    <sheet name="Struktur Gaji" sheetId="3" r:id="rId2"/>
    <sheet name="Tunjangan" sheetId="4" r:id="rId3"/>
    <sheet name="Tunjangan 2" sheetId="5" r:id="rId4"/>
    <sheet name="Kenaikan Gaji" sheetId="7" r:id="rId5"/>
    <sheet name="Tunjangan Proyek" sheetId="6" r:id="rId6"/>
  </sheets>
  <calcPr calcId="145621"/>
</workbook>
</file>

<file path=xl/calcChain.xml><?xml version="1.0" encoding="utf-8"?>
<calcChain xmlns="http://schemas.openxmlformats.org/spreadsheetml/2006/main">
  <c r="D11" i="6" l="1"/>
  <c r="G11" i="6"/>
  <c r="E11" i="6"/>
  <c r="F11" i="6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L45" i="5"/>
  <c r="L44" i="5"/>
  <c r="L43" i="5"/>
  <c r="L42" i="5"/>
  <c r="L41" i="5"/>
  <c r="L40" i="5"/>
  <c r="L39" i="5"/>
  <c r="L38" i="5"/>
  <c r="L37" i="5"/>
  <c r="L36" i="5"/>
  <c r="L35" i="5"/>
  <c r="L34" i="5"/>
  <c r="L33" i="5"/>
  <c r="L32" i="5"/>
  <c r="L31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3" i="1"/>
  <c r="L34" i="1"/>
  <c r="L23" i="1"/>
  <c r="L2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D16" i="6"/>
  <c r="G16" i="6"/>
  <c r="D15" i="6"/>
  <c r="G15" i="6"/>
  <c r="D14" i="6"/>
  <c r="G14" i="6"/>
  <c r="D13" i="6"/>
  <c r="G13" i="6"/>
  <c r="D12" i="6"/>
  <c r="G12" i="6"/>
  <c r="D10" i="6"/>
  <c r="G10" i="6"/>
  <c r="D9" i="6"/>
  <c r="G9" i="6"/>
  <c r="D8" i="6"/>
  <c r="G8" i="6"/>
  <c r="D7" i="6"/>
  <c r="G7" i="6"/>
  <c r="D6" i="6"/>
  <c r="G6" i="6"/>
  <c r="F15" i="6"/>
  <c r="E15" i="6"/>
  <c r="F14" i="6"/>
  <c r="E14" i="6"/>
  <c r="F13" i="6"/>
  <c r="E13" i="6"/>
  <c r="F12" i="6"/>
  <c r="E12" i="6"/>
  <c r="F10" i="6"/>
  <c r="E10" i="6"/>
  <c r="F9" i="6"/>
  <c r="E9" i="6"/>
  <c r="F8" i="6"/>
  <c r="E8" i="6"/>
  <c r="F7" i="6"/>
  <c r="E7" i="6"/>
  <c r="F6" i="6"/>
  <c r="E6" i="6"/>
  <c r="D5" i="6"/>
  <c r="G5" i="6"/>
  <c r="F5" i="6"/>
  <c r="E5" i="6"/>
  <c r="L14" i="1"/>
  <c r="L46" i="1"/>
  <c r="L29" i="1"/>
  <c r="F16" i="6"/>
  <c r="E16" i="6"/>
  <c r="L44" i="1"/>
  <c r="L27" i="1"/>
  <c r="L35" i="1"/>
  <c r="L42" i="1"/>
  <c r="L40" i="1"/>
  <c r="L36" i="1"/>
  <c r="L20" i="1"/>
  <c r="L30" i="1"/>
  <c r="L24" i="1"/>
  <c r="L19" i="1"/>
  <c r="L13" i="1"/>
  <c r="L9" i="1"/>
  <c r="L37" i="1"/>
  <c r="L41" i="1"/>
  <c r="L45" i="1"/>
  <c r="L38" i="1"/>
  <c r="L39" i="1"/>
  <c r="L33" i="1"/>
  <c r="L18" i="1"/>
  <c r="L32" i="1"/>
  <c r="L26" i="1"/>
  <c r="L28" i="1"/>
  <c r="L31" i="1"/>
  <c r="L22" i="1"/>
  <c r="L21" i="1"/>
  <c r="L12" i="1"/>
  <c r="L16" i="1"/>
  <c r="L17" i="1"/>
  <c r="L11" i="1"/>
  <c r="L15" i="1"/>
  <c r="L10" i="1"/>
  <c r="L7" i="1"/>
  <c r="L8" i="1"/>
  <c r="L6" i="1"/>
  <c r="L5" i="1"/>
</calcChain>
</file>

<file path=xl/sharedStrings.xml><?xml version="1.0" encoding="utf-8"?>
<sst xmlns="http://schemas.openxmlformats.org/spreadsheetml/2006/main" count="452" uniqueCount="165">
  <si>
    <t>Posisi</t>
  </si>
  <si>
    <t>Direktur Operasional</t>
  </si>
  <si>
    <t>Direktur Komersial</t>
  </si>
  <si>
    <t>Manajer Teknik</t>
  </si>
  <si>
    <t>Koordinator Projek</t>
  </si>
  <si>
    <t>Manajer Logistik</t>
  </si>
  <si>
    <t>Manajer Akunting</t>
  </si>
  <si>
    <t>Manajer Keuangan</t>
  </si>
  <si>
    <t>Manajer Peralatan</t>
  </si>
  <si>
    <t>Manajer HR &amp; GA</t>
  </si>
  <si>
    <t>Manajer PPC</t>
  </si>
  <si>
    <t>Project Manager</t>
  </si>
  <si>
    <t>Site Manager</t>
  </si>
  <si>
    <t>Site Engineer</t>
  </si>
  <si>
    <t>Kepala HR &amp; GA</t>
  </si>
  <si>
    <t>Kepala Cost Control</t>
  </si>
  <si>
    <t>Kepala Pengendali Mutu</t>
  </si>
  <si>
    <t>Kepala Pelaksana</t>
  </si>
  <si>
    <t>Staf HR &amp; GA</t>
  </si>
  <si>
    <t>Staf Cost Control</t>
  </si>
  <si>
    <t>Staf Pengendali Mutu</t>
  </si>
  <si>
    <t>Surveyor</t>
  </si>
  <si>
    <t>Drafter</t>
  </si>
  <si>
    <t>Mekanik</t>
  </si>
  <si>
    <t>Pelaksana</t>
  </si>
  <si>
    <t>Know How</t>
  </si>
  <si>
    <t>Usaha</t>
  </si>
  <si>
    <t>Tanggungjawab</t>
  </si>
  <si>
    <t>Teknis</t>
  </si>
  <si>
    <t>Manajerial</t>
  </si>
  <si>
    <t>Interpersonal</t>
  </si>
  <si>
    <t>Pikiran</t>
  </si>
  <si>
    <t>Fisik</t>
  </si>
  <si>
    <t>Waktu</t>
  </si>
  <si>
    <t>Hasil Kerja</t>
  </si>
  <si>
    <t>Aset</t>
  </si>
  <si>
    <t>Bawahan</t>
  </si>
  <si>
    <t>No.</t>
  </si>
  <si>
    <t>Kepala Logistik Kantor</t>
  </si>
  <si>
    <t>Kepala Keuangan Kantor</t>
  </si>
  <si>
    <t>Kasir Proyek/Kantor</t>
  </si>
  <si>
    <t>TOTAL</t>
  </si>
  <si>
    <t>Skala Tunjangan (Allowances)</t>
  </si>
  <si>
    <t>Mobil (Car)</t>
  </si>
  <si>
    <t>Rp 200 - 300 juta</t>
  </si>
  <si>
    <t>Health Insurance</t>
  </si>
  <si>
    <t>Maks. Dalam setahun = 1 x gaji</t>
  </si>
  <si>
    <t>Bensin (Petrol)</t>
  </si>
  <si>
    <t>Reimburse based</t>
  </si>
  <si>
    <t>on usage</t>
  </si>
  <si>
    <t>Dinas Luar Kota</t>
  </si>
  <si>
    <t>HP</t>
  </si>
  <si>
    <t>Rp 150 - 170 juta</t>
  </si>
  <si>
    <t>Uang Saku Harian:</t>
  </si>
  <si>
    <t>Rp 100,000,-</t>
  </si>
  <si>
    <t>Skala Tunjangan Proyek</t>
  </si>
  <si>
    <t>Sekretaris</t>
  </si>
  <si>
    <t>Komponen Kenaikan Gaji</t>
  </si>
  <si>
    <t>Predikat Penilaian Kinerja</t>
  </si>
  <si>
    <t>- Istimewa</t>
  </si>
  <si>
    <t xml:space="preserve">- Bagus </t>
  </si>
  <si>
    <t>- Sedikit Diatas Rata-rata</t>
  </si>
  <si>
    <t>- Sedikit Dibawah Rata-rata</t>
  </si>
  <si>
    <t xml:space="preserve">- Kurang </t>
  </si>
  <si>
    <t>- Jelek (poor performer)</t>
  </si>
  <si>
    <t>Kepala Marketing</t>
  </si>
  <si>
    <t>Manajer Marketing</t>
  </si>
  <si>
    <t>Asuransi Kesehatan Level 1</t>
  </si>
  <si>
    <t>Asuransi Kesehatan Level 2</t>
  </si>
  <si>
    <t>Asuransi Kesehatan Level 3</t>
  </si>
  <si>
    <t>Rp 750,000,-</t>
  </si>
  <si>
    <t>Rp 500,000,-</t>
  </si>
  <si>
    <t>Kepala Mekanik</t>
  </si>
  <si>
    <t>Kepala Gudang/Workshop</t>
  </si>
  <si>
    <t>Staf Logistik Kantor</t>
  </si>
  <si>
    <t>Grade</t>
  </si>
  <si>
    <t>A</t>
  </si>
  <si>
    <t>B</t>
  </si>
  <si>
    <t>C</t>
  </si>
  <si>
    <t>D</t>
  </si>
  <si>
    <t>Skala Gaji</t>
  </si>
  <si>
    <t>- Pengalaman dalam posisinya berkisar antara 0 - 3 tahun</t>
  </si>
  <si>
    <t>- Pengalaman dalam posisinya berkisar antara 4 - 6 tahun</t>
  </si>
  <si>
    <t>- Pengalaman dalam posisinya berkisar antara 7 - 9 tahun</t>
  </si>
  <si>
    <t xml:space="preserve">- Pengalaman dalam posisinya &gt; 9 tahun </t>
  </si>
  <si>
    <t>Klasifikasi Skala Gaji</t>
  </si>
  <si>
    <t>- Selama karirnya, telah terlibat dalam beragam pelaksanaan projek berskala besar (nilai projek diatas Rp 30 milyar)</t>
  </si>
  <si>
    <t>- Selama karirnya, telah terlibat dalam beragam pelaksanaan projek berskala besar (nilai projek diatas Rp 50 milyar)</t>
  </si>
  <si>
    <t>Rp 90 - 110 juta</t>
  </si>
  <si>
    <t>Hotel Bintang 3 -4</t>
  </si>
  <si>
    <t>Hotel Melati</t>
  </si>
  <si>
    <t>Rp 200,000,-</t>
  </si>
  <si>
    <t>Rp 75,000,-</t>
  </si>
  <si>
    <t>Kepala Adm Keu. Logistik Proyek</t>
  </si>
  <si>
    <t>Kepala Mekanik Proyek</t>
  </si>
  <si>
    <t>Staf Admin Keu Logistik Proyek</t>
  </si>
  <si>
    <t>Projek Kelas 1</t>
  </si>
  <si>
    <t xml:space="preserve">- Tingkat kesulitan tinggi </t>
  </si>
  <si>
    <t>- Lokasi proyek berada pada area terpencil dan atau rawan</t>
  </si>
  <si>
    <t>Projek Kelas 2</t>
  </si>
  <si>
    <t>Projek Kelas 3</t>
  </si>
  <si>
    <t>- Produktivitas proyek tinggi</t>
  </si>
  <si>
    <t>- Lokasi proyek berada pada area kota dan aman</t>
  </si>
  <si>
    <t xml:space="preserve">- Produktivitas proyek tinggi (nilai proyek besar dan </t>
  </si>
  <si>
    <t>waktu pengerjaan relatif pendek)</t>
  </si>
  <si>
    <t>- Tingkat kesulitan tinggi</t>
  </si>
  <si>
    <t>- Lokasi proyek berada pada area terpencil dan rawan</t>
  </si>
  <si>
    <t>Projek Kelas 4</t>
  </si>
  <si>
    <t>Projek Kelas 1 (150% x tunjangan)</t>
  </si>
  <si>
    <t>Projek Kelas 2 (125% x tunjangan)</t>
  </si>
  <si>
    <t>Projek Kelas 3 (100% x tunjangan)</t>
  </si>
  <si>
    <t>Projek Kelas 4 (80% x tunjangan)</t>
  </si>
  <si>
    <t>Acuan Perhitungan Tunjangan (RP)</t>
  </si>
  <si>
    <t>- Produktivitas proyek sedang/rendah</t>
  </si>
  <si>
    <t>- Tingkat kesulitan sedang/rendah</t>
  </si>
  <si>
    <t>- Selama dalam posisinya telah mampu memberikan prestasi kerja yang baik (mengacu pada hasil penilaian kinerja yang diperoleh)</t>
  </si>
  <si>
    <t>- Selama dalam posisinya telah mampu memberikan prestasi kerja yang sangat baik (mengacu pada hasil penilaian kinerja)</t>
  </si>
  <si>
    <t>Kepala Bagian Anggaran</t>
  </si>
  <si>
    <t>Kepala Logistik Proyek</t>
  </si>
  <si>
    <t>Kepala Adm Keuangan Proyek</t>
  </si>
  <si>
    <t>Estimator</t>
  </si>
  <si>
    <t>Engineer</t>
  </si>
  <si>
    <t>Staf Teknik</t>
  </si>
  <si>
    <t>Staf Keuangan/Akunting Kantor</t>
  </si>
  <si>
    <t>Staf Admin Keu Proyek</t>
  </si>
  <si>
    <t>Staf Logistik Proyek</t>
  </si>
  <si>
    <t>Supervisor</t>
  </si>
  <si>
    <t>Senior</t>
  </si>
  <si>
    <t>Manajer</t>
  </si>
  <si>
    <t>Staf</t>
  </si>
  <si>
    <t>Estimator Junior</t>
  </si>
  <si>
    <t>Staf Teknik Junior</t>
  </si>
  <si>
    <t>Mekanik Junior</t>
  </si>
  <si>
    <t>Surveyor Junior</t>
  </si>
  <si>
    <t>Staf Pengendali Mutu Junir</t>
  </si>
  <si>
    <t>Staf Keuangan/Akunting Kantor Junior</t>
  </si>
  <si>
    <t>Staf Logistik Kantor Junior</t>
  </si>
  <si>
    <t>Drafter Junior</t>
  </si>
  <si>
    <t>Staf Cost Control Junior</t>
  </si>
  <si>
    <t>Staf Admin Keu Proyek Junior</t>
  </si>
  <si>
    <t>Staf Logistik Proyek Junior</t>
  </si>
  <si>
    <t>Kasir Proyek/Kantor Junior</t>
  </si>
  <si>
    <t>Staf HR &amp; GA Junior</t>
  </si>
  <si>
    <t>Junior</t>
  </si>
  <si>
    <t>Rp 150 - 200 juta</t>
  </si>
  <si>
    <t>Uang Saku Harian: Rp 200 ribu</t>
  </si>
  <si>
    <t>Rp 150,000,-</t>
  </si>
  <si>
    <t>Rp 50,000,-</t>
  </si>
  <si>
    <t>Terdapat dua komponen kenaikan gaji, yakni:</t>
  </si>
  <si>
    <t>1. Tingkat Inflasi</t>
  </si>
  <si>
    <t>inflasi adalah sekitar 5 %, maka sesuai peraturan ketenagakerjaan, maka semua karyawan HARUS memperoleh kenaikan gaji</t>
  </si>
  <si>
    <t xml:space="preserve">minimal 5 % (sama dengan persentase tingkat inflasi). </t>
  </si>
  <si>
    <t>2. Predikat Penilaian Kerja</t>
  </si>
  <si>
    <t>Komponen kedua adalah predikat penilaian kerja, yang kategorinya adalah sbb:</t>
  </si>
  <si>
    <t>Contoh:</t>
  </si>
  <si>
    <t>kerjanya selama satu tahun, maka ia berhak memperoleh kenaikan gaji sebesar 6 % + 4 % = 9 %.</t>
  </si>
  <si>
    <t>s/d 12,000,000</t>
  </si>
  <si>
    <t>s/d 14,000,000</t>
  </si>
  <si>
    <t>s/d 17,000,000</t>
  </si>
  <si>
    <t>s/d 20,000,000</t>
  </si>
  <si>
    <t>s/d</t>
  </si>
  <si>
    <t xml:space="preserve">Skala Gaji </t>
  </si>
  <si>
    <t>Skor Total Per Posisi Berdasar Compensable Factors (HANYA SAMPEL)</t>
  </si>
  <si>
    <t>Persentase tingkat inflasi diproleh dari data pemerintah yang dikeluarkan tiap akhir tahun. Sebagai misal pada tahun 2020, tingkat</t>
  </si>
  <si>
    <t xml:space="preserve">Jika tingkat inflasi tahun 2021 nanti adalah 6 %, sedangkan Bapak X memperoleh predikat BAGUS berdasar atas evaluasi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</si>
</sst>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71" formatCode="_(* #,##0_);_(* \(#,##0\);_(* &quot;-&quot;??_);_(@_)"/>
  </numFmts>
  <fonts count="15" x14ac:knownFonts="1">
    <font>
      <sz val="10"/>
      <name val="Arial"/>
    </font>
    <font>
      <sz val="10"/>
      <name val="Arial"/>
    </font>
    <font>
      <sz val="8"/>
      <name val="Arial"/>
    </font>
    <font>
      <b/>
      <sz val="10"/>
      <name val="Arial"/>
      <family val="2"/>
    </font>
    <font>
      <sz val="9"/>
      <name val="Arial"/>
    </font>
    <font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1"/>
      <name val="Arial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14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4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43" fontId="0" fillId="0" borderId="0" xfId="1" applyFont="1"/>
    <xf numFmtId="43" fontId="4" fillId="0" borderId="0" xfId="1" applyFont="1" applyAlignment="1">
      <alignment horizontal="center"/>
    </xf>
    <xf numFmtId="43" fontId="4" fillId="0" borderId="0" xfId="1" applyFont="1"/>
    <xf numFmtId="0" fontId="0" fillId="0" borderId="0" xfId="0" applyBorder="1" applyAlignment="1">
      <alignment horizontal="center"/>
    </xf>
    <xf numFmtId="0" fontId="0" fillId="0" borderId="0" xfId="0" applyBorder="1"/>
    <xf numFmtId="0" fontId="4" fillId="0" borderId="0" xfId="0" applyFont="1" applyBorder="1" applyAlignment="1">
      <alignment horizontal="center"/>
    </xf>
    <xf numFmtId="43" fontId="4" fillId="0" borderId="0" xfId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43" fontId="4" fillId="0" borderId="1" xfId="1" applyFont="1" applyBorder="1" applyAlignment="1">
      <alignment horizontal="center"/>
    </xf>
    <xf numFmtId="43" fontId="4" fillId="0" borderId="2" xfId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4" fillId="0" borderId="3" xfId="0" applyFont="1" applyBorder="1" applyAlignment="1">
      <alignment horizontal="center"/>
    </xf>
    <xf numFmtId="43" fontId="4" fillId="0" borderId="3" xfId="1" applyFont="1" applyBorder="1" applyAlignment="1">
      <alignment horizontal="center"/>
    </xf>
    <xf numFmtId="43" fontId="3" fillId="2" borderId="4" xfId="1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0" fillId="0" borderId="0" xfId="0" applyFill="1" applyBorder="1"/>
    <xf numFmtId="0" fontId="4" fillId="0" borderId="0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Fill="1" applyBorder="1"/>
    <xf numFmtId="0" fontId="4" fillId="0" borderId="2" xfId="0" applyFont="1" applyFill="1" applyBorder="1" applyAlignment="1">
      <alignment horizontal="center"/>
    </xf>
    <xf numFmtId="43" fontId="4" fillId="0" borderId="2" xfId="1" applyFon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3" xfId="0" applyFill="1" applyBorder="1"/>
    <xf numFmtId="0" fontId="4" fillId="0" borderId="3" xfId="0" applyFont="1" applyFill="1" applyBorder="1" applyAlignment="1">
      <alignment horizontal="center"/>
    </xf>
    <xf numFmtId="43" fontId="4" fillId="0" borderId="3" xfId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4" fillId="0" borderId="1" xfId="0" applyFont="1" applyFill="1" applyBorder="1" applyAlignment="1">
      <alignment horizontal="center"/>
    </xf>
    <xf numFmtId="43" fontId="4" fillId="0" borderId="1" xfId="1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0" fillId="0" borderId="6" xfId="0" applyBorder="1"/>
    <xf numFmtId="0" fontId="9" fillId="0" borderId="6" xfId="0" applyFont="1" applyFill="1" applyBorder="1" applyAlignment="1">
      <alignment horizontal="center"/>
    </xf>
    <xf numFmtId="0" fontId="9" fillId="0" borderId="5" xfId="0" applyFont="1" applyFill="1" applyBorder="1" applyAlignment="1">
      <alignment horizontal="center"/>
    </xf>
    <xf numFmtId="43" fontId="4" fillId="0" borderId="6" xfId="1" applyFont="1" applyFill="1" applyBorder="1" applyAlignment="1">
      <alignment horizontal="center"/>
    </xf>
    <xf numFmtId="43" fontId="4" fillId="0" borderId="5" xfId="1" applyFont="1" applyFill="1" applyBorder="1" applyAlignment="1">
      <alignment horizontal="center"/>
    </xf>
    <xf numFmtId="43" fontId="4" fillId="0" borderId="6" xfId="1" applyFont="1" applyBorder="1" applyAlignment="1">
      <alignment horizontal="center"/>
    </xf>
    <xf numFmtId="43" fontId="4" fillId="0" borderId="5" xfId="1" applyFont="1" applyBorder="1" applyAlignment="1">
      <alignment horizontal="center"/>
    </xf>
    <xf numFmtId="171" fontId="0" fillId="0" borderId="3" xfId="0" applyNumberFormat="1" applyBorder="1"/>
    <xf numFmtId="171" fontId="0" fillId="0" borderId="7" xfId="0" applyNumberFormat="1" applyBorder="1"/>
    <xf numFmtId="0" fontId="10" fillId="0" borderId="0" xfId="0" applyFont="1"/>
    <xf numFmtId="0" fontId="8" fillId="0" borderId="0" xfId="0" applyFont="1"/>
    <xf numFmtId="0" fontId="8" fillId="0" borderId="0" xfId="0" quotePrefix="1" applyFont="1"/>
    <xf numFmtId="9" fontId="11" fillId="0" borderId="0" xfId="0" applyNumberFormat="1" applyFont="1"/>
    <xf numFmtId="0" fontId="11" fillId="0" borderId="0" xfId="0" applyFont="1"/>
    <xf numFmtId="0" fontId="0" fillId="0" borderId="5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43" fontId="4" fillId="0" borderId="0" xfId="1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43" fontId="3" fillId="2" borderId="6" xfId="1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0" fillId="0" borderId="0" xfId="0" quotePrefix="1"/>
    <xf numFmtId="0" fontId="3" fillId="0" borderId="0" xfId="0" applyFont="1"/>
    <xf numFmtId="0" fontId="3" fillId="0" borderId="0" xfId="0" applyFont="1" applyAlignment="1">
      <alignment horizontal="center"/>
    </xf>
    <xf numFmtId="43" fontId="0" fillId="0" borderId="0" xfId="1" applyFont="1" applyBorder="1"/>
    <xf numFmtId="171" fontId="0" fillId="0" borderId="0" xfId="1" applyNumberFormat="1" applyFont="1" applyFill="1" applyBorder="1"/>
    <xf numFmtId="43" fontId="4" fillId="0" borderId="4" xfId="1" applyFont="1" applyFill="1" applyBorder="1" applyAlignment="1">
      <alignment horizontal="center"/>
    </xf>
    <xf numFmtId="0" fontId="3" fillId="0" borderId="0" xfId="0" applyFont="1" applyFill="1" applyBorder="1"/>
    <xf numFmtId="0" fontId="9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9" fillId="0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9" fillId="0" borderId="4" xfId="0" applyFont="1" applyFill="1" applyBorder="1" applyAlignment="1">
      <alignment horizontal="center"/>
    </xf>
    <xf numFmtId="0" fontId="0" fillId="0" borderId="12" xfId="0" applyFill="1" applyBorder="1"/>
    <xf numFmtId="0" fontId="4" fillId="0" borderId="12" xfId="0" applyFont="1" applyFill="1" applyBorder="1" applyAlignment="1">
      <alignment horizontal="center"/>
    </xf>
    <xf numFmtId="0" fontId="0" fillId="0" borderId="12" xfId="0" applyBorder="1"/>
    <xf numFmtId="0" fontId="4" fillId="0" borderId="12" xfId="0" applyFont="1" applyBorder="1" applyAlignment="1">
      <alignment horizontal="center"/>
    </xf>
    <xf numFmtId="0" fontId="0" fillId="0" borderId="13" xfId="0" applyFill="1" applyBorder="1"/>
    <xf numFmtId="0" fontId="4" fillId="0" borderId="13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0" fillId="0" borderId="13" xfId="0" applyBorder="1"/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15" xfId="0" applyFill="1" applyBorder="1"/>
    <xf numFmtId="0" fontId="4" fillId="0" borderId="15" xfId="0" applyFont="1" applyFill="1" applyBorder="1" applyAlignment="1">
      <alignment horizontal="center"/>
    </xf>
    <xf numFmtId="43" fontId="4" fillId="0" borderId="7" xfId="1" applyFont="1" applyFill="1" applyBorder="1" applyAlignment="1">
      <alignment horizontal="center"/>
    </xf>
    <xf numFmtId="171" fontId="0" fillId="0" borderId="1" xfId="0" applyNumberFormat="1" applyBorder="1"/>
    <xf numFmtId="0" fontId="0" fillId="0" borderId="7" xfId="0" applyFill="1" applyBorder="1"/>
    <xf numFmtId="171" fontId="0" fillId="3" borderId="7" xfId="1" applyNumberFormat="1" applyFont="1" applyFill="1" applyBorder="1" applyAlignment="1">
      <alignment horizontal="center"/>
    </xf>
    <xf numFmtId="171" fontId="0" fillId="3" borderId="1" xfId="1" applyNumberFormat="1" applyFont="1" applyFill="1" applyBorder="1" applyAlignment="1">
      <alignment horizontal="center"/>
    </xf>
    <xf numFmtId="171" fontId="0" fillId="3" borderId="3" xfId="1" applyNumberFormat="1" applyFont="1" applyFill="1" applyBorder="1" applyAlignment="1">
      <alignment horizontal="center"/>
    </xf>
    <xf numFmtId="43" fontId="0" fillId="0" borderId="0" xfId="0" applyNumberFormat="1"/>
    <xf numFmtId="0" fontId="0" fillId="0" borderId="4" xfId="0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0" fillId="0" borderId="2" xfId="0" applyBorder="1"/>
    <xf numFmtId="0" fontId="4" fillId="0" borderId="2" xfId="0" applyFont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0" borderId="17" xfId="0" applyFill="1" applyBorder="1"/>
    <xf numFmtId="0" fontId="0" fillId="0" borderId="6" xfId="0" applyFill="1" applyBorder="1" applyAlignment="1">
      <alignment horizontal="center"/>
    </xf>
    <xf numFmtId="0" fontId="0" fillId="0" borderId="14" xfId="0" applyBorder="1"/>
    <xf numFmtId="0" fontId="4" fillId="0" borderId="7" xfId="0" applyFont="1" applyFill="1" applyBorder="1" applyAlignment="1">
      <alignment horizontal="center"/>
    </xf>
    <xf numFmtId="43" fontId="4" fillId="0" borderId="0" xfId="1" applyFont="1" applyBorder="1"/>
    <xf numFmtId="0" fontId="0" fillId="0" borderId="8" xfId="0" applyFill="1" applyBorder="1" applyAlignment="1">
      <alignment horizontal="center"/>
    </xf>
    <xf numFmtId="0" fontId="7" fillId="2" borderId="18" xfId="0" applyFont="1" applyFill="1" applyBorder="1" applyAlignment="1">
      <alignment horizontal="center"/>
    </xf>
    <xf numFmtId="0" fontId="4" fillId="0" borderId="19" xfId="0" applyFont="1" applyFill="1" applyBorder="1" applyAlignment="1">
      <alignment horizontal="center"/>
    </xf>
    <xf numFmtId="0" fontId="4" fillId="0" borderId="20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43" fontId="0" fillId="0" borderId="6" xfId="1" applyFont="1" applyBorder="1"/>
    <xf numFmtId="43" fontId="0" fillId="0" borderId="5" xfId="1" applyFont="1" applyBorder="1"/>
    <xf numFmtId="0" fontId="6" fillId="0" borderId="0" xfId="0" applyFont="1" applyAlignment="1">
      <alignment horizontal="center"/>
    </xf>
    <xf numFmtId="0" fontId="6" fillId="2" borderId="21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8" xfId="0" applyFont="1" applyFill="1" applyBorder="1" applyAlignment="1">
      <alignment horizontal="center"/>
    </xf>
    <xf numFmtId="0" fontId="0" fillId="0" borderId="22" xfId="0" applyFill="1" applyBorder="1"/>
    <xf numFmtId="0" fontId="0" fillId="0" borderId="12" xfId="0" applyBorder="1" applyAlignment="1">
      <alignment horizontal="center"/>
    </xf>
    <xf numFmtId="0" fontId="6" fillId="0" borderId="12" xfId="0" applyFont="1" applyFill="1" applyBorder="1" applyAlignment="1">
      <alignment horizontal="center"/>
    </xf>
    <xf numFmtId="171" fontId="0" fillId="3" borderId="1" xfId="1" applyNumberFormat="1" applyFont="1" applyFill="1" applyBorder="1"/>
    <xf numFmtId="171" fontId="0" fillId="0" borderId="12" xfId="1" applyNumberFormat="1" applyFont="1" applyBorder="1"/>
    <xf numFmtId="171" fontId="0" fillId="0" borderId="23" xfId="1" applyNumberFormat="1" applyFont="1" applyBorder="1"/>
    <xf numFmtId="0" fontId="6" fillId="0" borderId="12" xfId="0" applyFont="1" applyBorder="1" applyAlignment="1">
      <alignment horizontal="center"/>
    </xf>
    <xf numFmtId="0" fontId="0" fillId="3" borderId="1" xfId="0" applyFill="1" applyBorder="1"/>
    <xf numFmtId="0" fontId="0" fillId="0" borderId="23" xfId="0" applyBorder="1"/>
    <xf numFmtId="0" fontId="4" fillId="0" borderId="12" xfId="0" applyFont="1" applyBorder="1"/>
    <xf numFmtId="43" fontId="4" fillId="0" borderId="1" xfId="1" applyFont="1" applyBorder="1"/>
    <xf numFmtId="43" fontId="0" fillId="0" borderId="1" xfId="1" applyFont="1" applyBorder="1"/>
    <xf numFmtId="0" fontId="6" fillId="0" borderId="13" xfId="0" applyFont="1" applyFill="1" applyBorder="1" applyAlignment="1">
      <alignment horizontal="center"/>
    </xf>
    <xf numFmtId="171" fontId="0" fillId="3" borderId="2" xfId="1" applyNumberFormat="1" applyFont="1" applyFill="1" applyBorder="1"/>
    <xf numFmtId="171" fontId="0" fillId="0" borderId="13" xfId="1" applyNumberFormat="1" applyFont="1" applyBorder="1"/>
    <xf numFmtId="171" fontId="0" fillId="0" borderId="17" xfId="1" applyNumberFormat="1" applyFont="1" applyBorder="1"/>
    <xf numFmtId="0" fontId="6" fillId="0" borderId="14" xfId="0" applyFont="1" applyBorder="1" applyAlignment="1">
      <alignment horizontal="center"/>
    </xf>
    <xf numFmtId="171" fontId="0" fillId="3" borderId="3" xfId="1" applyNumberFormat="1" applyFont="1" applyFill="1" applyBorder="1"/>
    <xf numFmtId="171" fontId="0" fillId="0" borderId="14" xfId="1" applyNumberFormat="1" applyFont="1" applyBorder="1"/>
    <xf numFmtId="171" fontId="0" fillId="0" borderId="22" xfId="1" applyNumberFormat="1" applyFont="1" applyBorder="1"/>
    <xf numFmtId="0" fontId="6" fillId="0" borderId="13" xfId="0" applyFont="1" applyBorder="1" applyAlignment="1">
      <alignment horizontal="center"/>
    </xf>
    <xf numFmtId="0" fontId="6" fillId="0" borderId="14" xfId="0" applyFont="1" applyFill="1" applyBorder="1" applyAlignment="1">
      <alignment horizontal="center"/>
    </xf>
    <xf numFmtId="0" fontId="0" fillId="3" borderId="3" xfId="0" applyFill="1" applyBorder="1"/>
    <xf numFmtId="0" fontId="0" fillId="0" borderId="22" xfId="0" applyBorder="1"/>
    <xf numFmtId="43" fontId="0" fillId="0" borderId="3" xfId="1" applyFont="1" applyBorder="1"/>
    <xf numFmtId="0" fontId="0" fillId="0" borderId="24" xfId="0" applyBorder="1"/>
    <xf numFmtId="0" fontId="4" fillId="0" borderId="24" xfId="0" applyFont="1" applyBorder="1" applyAlignment="1">
      <alignment horizontal="center"/>
    </xf>
    <xf numFmtId="43" fontId="4" fillId="0" borderId="16" xfId="1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171" fontId="0" fillId="3" borderId="7" xfId="1" applyNumberFormat="1" applyFont="1" applyFill="1" applyBorder="1"/>
    <xf numFmtId="171" fontId="0" fillId="0" borderId="15" xfId="1" applyNumberFormat="1" applyFont="1" applyBorder="1"/>
    <xf numFmtId="171" fontId="0" fillId="0" borderId="25" xfId="1" applyNumberFormat="1" applyFont="1" applyBorder="1"/>
    <xf numFmtId="0" fontId="6" fillId="2" borderId="0" xfId="0" applyFont="1" applyFill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9" fillId="0" borderId="8" xfId="0" applyFont="1" applyFill="1" applyBorder="1" applyAlignment="1">
      <alignment horizontal="center"/>
    </xf>
    <xf numFmtId="0" fontId="6" fillId="0" borderId="26" xfId="0" applyFont="1" applyFill="1" applyBorder="1" applyAlignment="1">
      <alignment horizontal="center"/>
    </xf>
    <xf numFmtId="0" fontId="6" fillId="0" borderId="18" xfId="0" applyFont="1" applyFill="1" applyBorder="1" applyAlignment="1">
      <alignment horizontal="center"/>
    </xf>
    <xf numFmtId="43" fontId="0" fillId="0" borderId="0" xfId="0" applyNumberForma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6" fillId="0" borderId="9" xfId="0" applyFont="1" applyFill="1" applyBorder="1" applyAlignment="1">
      <alignment horizontal="center"/>
    </xf>
    <xf numFmtId="43" fontId="0" fillId="0" borderId="6" xfId="0" applyNumberForma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3" fillId="0" borderId="11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43" fontId="0" fillId="0" borderId="11" xfId="0" applyNumberFormat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9" fillId="0" borderId="21" xfId="0" applyFont="1" applyFill="1" applyBorder="1" applyAlignment="1">
      <alignment horizontal="center"/>
    </xf>
    <xf numFmtId="43" fontId="3" fillId="0" borderId="6" xfId="1" applyFont="1" applyFill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0" xfId="0" applyFill="1"/>
    <xf numFmtId="171" fontId="0" fillId="3" borderId="1" xfId="1" applyNumberFormat="1" applyFont="1" applyFill="1" applyBorder="1" applyAlignment="1">
      <alignment horizontal="right"/>
    </xf>
    <xf numFmtId="3" fontId="0" fillId="3" borderId="1" xfId="0" applyNumberFormat="1" applyFill="1" applyBorder="1"/>
    <xf numFmtId="3" fontId="0" fillId="0" borderId="12" xfId="0" applyNumberFormat="1" applyBorder="1"/>
    <xf numFmtId="3" fontId="0" fillId="0" borderId="23" xfId="0" applyNumberFormat="1" applyBorder="1"/>
    <xf numFmtId="171" fontId="0" fillId="0" borderId="12" xfId="1" applyNumberFormat="1" applyFont="1" applyBorder="1" applyAlignment="1">
      <alignment horizontal="right"/>
    </xf>
    <xf numFmtId="171" fontId="0" fillId="0" borderId="23" xfId="1" applyNumberFormat="1" applyFont="1" applyBorder="1" applyAlignment="1">
      <alignment horizontal="right"/>
    </xf>
    <xf numFmtId="0" fontId="9" fillId="0" borderId="0" xfId="0" applyFont="1"/>
    <xf numFmtId="0" fontId="13" fillId="0" borderId="0" xfId="0" applyFont="1"/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43" fontId="3" fillId="2" borderId="4" xfId="1" applyFont="1" applyFill="1" applyBorder="1" applyAlignment="1">
      <alignment horizontal="center"/>
    </xf>
    <xf numFmtId="43" fontId="3" fillId="2" borderId="5" xfId="1" applyFont="1" applyFill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6" fillId="2" borderId="4" xfId="0" applyFont="1" applyFill="1" applyBorder="1" applyAlignment="1">
      <alignment horizontal="center" wrapText="1"/>
    </xf>
    <xf numFmtId="0" fontId="6" fillId="2" borderId="6" xfId="0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6" fillId="3" borderId="4" xfId="0" applyFont="1" applyFill="1" applyBorder="1" applyAlignment="1">
      <alignment horizontal="center" wrapText="1"/>
    </xf>
    <xf numFmtId="0" fontId="6" fillId="3" borderId="5" xfId="0" applyFont="1" applyFill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2"/>
  <sheetViews>
    <sheetView tabSelected="1" zoomScale="120" zoomScaleNormal="120" workbookViewId="0">
      <selection activeCell="D15" sqref="D15"/>
    </sheetView>
  </sheetViews>
  <sheetFormatPr defaultRowHeight="15.95" customHeight="1" x14ac:dyDescent="0.2"/>
  <cols>
    <col min="1" max="1" width="4.140625" style="3" customWidth="1"/>
    <col min="2" max="2" width="28.85546875" customWidth="1"/>
    <col min="5" max="5" width="10.28515625" customWidth="1"/>
    <col min="12" max="12" width="9.140625" style="4"/>
  </cols>
  <sheetData>
    <row r="1" spans="1:12" ht="21.75" customHeight="1" x14ac:dyDescent="0.25">
      <c r="A1" s="188" t="s">
        <v>162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</row>
    <row r="2" spans="1:12" ht="11.25" customHeight="1" x14ac:dyDescent="0.2"/>
    <row r="3" spans="1:12" ht="15.95" customHeight="1" x14ac:dyDescent="0.2">
      <c r="A3" s="183" t="s">
        <v>37</v>
      </c>
      <c r="B3" s="183" t="s">
        <v>0</v>
      </c>
      <c r="C3" s="185" t="s">
        <v>25</v>
      </c>
      <c r="D3" s="186"/>
      <c r="E3" s="187"/>
      <c r="F3" s="185" t="s">
        <v>26</v>
      </c>
      <c r="G3" s="186"/>
      <c r="H3" s="187"/>
      <c r="I3" s="185" t="s">
        <v>27</v>
      </c>
      <c r="J3" s="186"/>
      <c r="K3" s="187"/>
      <c r="L3" s="189" t="s">
        <v>41</v>
      </c>
    </row>
    <row r="4" spans="1:12" ht="15.95" customHeight="1" x14ac:dyDescent="0.2">
      <c r="A4" s="184"/>
      <c r="B4" s="184"/>
      <c r="C4" s="22" t="s">
        <v>28</v>
      </c>
      <c r="D4" s="22" t="s">
        <v>29</v>
      </c>
      <c r="E4" s="22" t="s">
        <v>30</v>
      </c>
      <c r="F4" s="22" t="s">
        <v>31</v>
      </c>
      <c r="G4" s="22" t="s">
        <v>32</v>
      </c>
      <c r="H4" s="22" t="s">
        <v>33</v>
      </c>
      <c r="I4" s="22" t="s">
        <v>34</v>
      </c>
      <c r="J4" s="22" t="s">
        <v>35</v>
      </c>
      <c r="K4" s="22" t="s">
        <v>36</v>
      </c>
      <c r="L4" s="190"/>
    </row>
    <row r="5" spans="1:12" ht="15.95" customHeight="1" x14ac:dyDescent="0.2">
      <c r="A5" s="25">
        <v>1</v>
      </c>
      <c r="B5" s="26" t="s">
        <v>1</v>
      </c>
      <c r="C5" s="27">
        <v>120</v>
      </c>
      <c r="D5" s="27">
        <v>113</v>
      </c>
      <c r="E5" s="27">
        <v>69</v>
      </c>
      <c r="F5" s="27">
        <v>120</v>
      </c>
      <c r="G5" s="27">
        <v>32</v>
      </c>
      <c r="H5" s="27">
        <v>80</v>
      </c>
      <c r="I5" s="27">
        <v>150</v>
      </c>
      <c r="J5" s="27">
        <v>100</v>
      </c>
      <c r="K5" s="27">
        <v>100</v>
      </c>
      <c r="L5" s="28">
        <f t="shared" ref="L5:L46" si="0">SUM(C5:K5)</f>
        <v>884</v>
      </c>
    </row>
    <row r="6" spans="1:12" ht="15.95" customHeight="1" x14ac:dyDescent="0.2">
      <c r="A6" s="33">
        <f>A5+1</f>
        <v>2</v>
      </c>
      <c r="B6" s="30" t="s">
        <v>2</v>
      </c>
      <c r="C6" s="31">
        <v>120</v>
      </c>
      <c r="D6" s="31">
        <v>113</v>
      </c>
      <c r="E6" s="31">
        <v>69</v>
      </c>
      <c r="F6" s="31">
        <v>120</v>
      </c>
      <c r="G6" s="31">
        <v>16</v>
      </c>
      <c r="H6" s="31">
        <v>64</v>
      </c>
      <c r="I6" s="31">
        <v>150</v>
      </c>
      <c r="J6" s="31">
        <v>100</v>
      </c>
      <c r="K6" s="31">
        <v>87.5</v>
      </c>
      <c r="L6" s="32">
        <f t="shared" si="0"/>
        <v>839.5</v>
      </c>
    </row>
    <row r="7" spans="1:12" ht="15.95" customHeight="1" x14ac:dyDescent="0.2">
      <c r="A7" s="25">
        <f t="shared" ref="A7:A46" si="1">A6+1</f>
        <v>3</v>
      </c>
      <c r="B7" s="26" t="s">
        <v>4</v>
      </c>
      <c r="C7" s="27">
        <v>107</v>
      </c>
      <c r="D7" s="27">
        <v>113</v>
      </c>
      <c r="E7" s="27">
        <v>57</v>
      </c>
      <c r="F7" s="27">
        <v>100</v>
      </c>
      <c r="G7" s="27">
        <v>48</v>
      </c>
      <c r="H7" s="27">
        <v>64</v>
      </c>
      <c r="I7" s="27">
        <v>125</v>
      </c>
      <c r="J7" s="27">
        <v>100</v>
      </c>
      <c r="K7" s="27">
        <v>50</v>
      </c>
      <c r="L7" s="28">
        <f t="shared" si="0"/>
        <v>764</v>
      </c>
    </row>
    <row r="8" spans="1:12" ht="15.95" customHeight="1" x14ac:dyDescent="0.2">
      <c r="A8" s="33">
        <f t="shared" si="1"/>
        <v>4</v>
      </c>
      <c r="B8" s="12" t="s">
        <v>3</v>
      </c>
      <c r="C8" s="13">
        <v>107</v>
      </c>
      <c r="D8" s="13">
        <v>75</v>
      </c>
      <c r="E8" s="13">
        <v>57</v>
      </c>
      <c r="F8" s="13">
        <v>120</v>
      </c>
      <c r="G8" s="13">
        <v>32</v>
      </c>
      <c r="H8" s="13">
        <v>80</v>
      </c>
      <c r="I8" s="13">
        <v>125</v>
      </c>
      <c r="J8" s="13">
        <v>100</v>
      </c>
      <c r="K8" s="13">
        <v>50</v>
      </c>
      <c r="L8" s="14">
        <f t="shared" si="0"/>
        <v>746</v>
      </c>
    </row>
    <row r="9" spans="1:12" ht="15.95" customHeight="1" x14ac:dyDescent="0.2">
      <c r="A9" s="33">
        <f t="shared" si="1"/>
        <v>5</v>
      </c>
      <c r="B9" s="34" t="s">
        <v>11</v>
      </c>
      <c r="C9" s="35">
        <v>93</v>
      </c>
      <c r="D9" s="35">
        <v>75</v>
      </c>
      <c r="E9" s="35">
        <v>69</v>
      </c>
      <c r="F9" s="35">
        <v>100</v>
      </c>
      <c r="G9" s="35">
        <v>48</v>
      </c>
      <c r="H9" s="35">
        <v>64</v>
      </c>
      <c r="I9" s="35">
        <v>100</v>
      </c>
      <c r="J9" s="35">
        <v>100</v>
      </c>
      <c r="K9" s="35">
        <v>87.5</v>
      </c>
      <c r="L9" s="36">
        <f t="shared" si="0"/>
        <v>736.5</v>
      </c>
    </row>
    <row r="10" spans="1:12" ht="15.95" customHeight="1" x14ac:dyDescent="0.2">
      <c r="A10" s="33">
        <f t="shared" si="1"/>
        <v>6</v>
      </c>
      <c r="B10" s="34" t="s">
        <v>5</v>
      </c>
      <c r="C10" s="35">
        <v>93</v>
      </c>
      <c r="D10" s="35">
        <v>75</v>
      </c>
      <c r="E10" s="35">
        <v>69</v>
      </c>
      <c r="F10" s="35">
        <v>100</v>
      </c>
      <c r="G10" s="35">
        <v>32</v>
      </c>
      <c r="H10" s="35">
        <v>48</v>
      </c>
      <c r="I10" s="35">
        <v>100</v>
      </c>
      <c r="J10" s="35">
        <v>80</v>
      </c>
      <c r="K10" s="35">
        <v>50</v>
      </c>
      <c r="L10" s="36">
        <f t="shared" si="0"/>
        <v>647</v>
      </c>
    </row>
    <row r="11" spans="1:12" ht="15.95" customHeight="1" x14ac:dyDescent="0.2">
      <c r="A11" s="33">
        <f t="shared" si="1"/>
        <v>7</v>
      </c>
      <c r="B11" s="17" t="s">
        <v>7</v>
      </c>
      <c r="C11" s="18">
        <v>93</v>
      </c>
      <c r="D11" s="18">
        <v>94</v>
      </c>
      <c r="E11" s="18">
        <v>57</v>
      </c>
      <c r="F11" s="18">
        <v>80</v>
      </c>
      <c r="G11" s="18">
        <v>16</v>
      </c>
      <c r="H11" s="18">
        <v>48</v>
      </c>
      <c r="I11" s="18">
        <v>125</v>
      </c>
      <c r="J11" s="18">
        <v>80</v>
      </c>
      <c r="K11" s="18">
        <v>50</v>
      </c>
      <c r="L11" s="19">
        <f t="shared" si="0"/>
        <v>643</v>
      </c>
    </row>
    <row r="12" spans="1:12" ht="15.95" customHeight="1" x14ac:dyDescent="0.2">
      <c r="A12" s="33">
        <f t="shared" si="1"/>
        <v>8</v>
      </c>
      <c r="B12" s="99" t="s">
        <v>10</v>
      </c>
      <c r="C12" s="100">
        <v>93</v>
      </c>
      <c r="D12" s="100">
        <v>75</v>
      </c>
      <c r="E12" s="100">
        <v>57</v>
      </c>
      <c r="F12" s="100">
        <v>80</v>
      </c>
      <c r="G12" s="100">
        <v>32</v>
      </c>
      <c r="H12" s="100">
        <v>48</v>
      </c>
      <c r="I12" s="100">
        <v>125</v>
      </c>
      <c r="J12" s="100">
        <v>80</v>
      </c>
      <c r="K12" s="100">
        <v>50</v>
      </c>
      <c r="L12" s="15">
        <f t="shared" si="0"/>
        <v>640</v>
      </c>
    </row>
    <row r="13" spans="1:12" ht="15.95" customHeight="1" x14ac:dyDescent="0.2">
      <c r="A13" s="33">
        <f t="shared" si="1"/>
        <v>9</v>
      </c>
      <c r="B13" s="34" t="s">
        <v>12</v>
      </c>
      <c r="C13" s="35">
        <v>80</v>
      </c>
      <c r="D13" s="35">
        <v>75</v>
      </c>
      <c r="E13" s="35">
        <v>46</v>
      </c>
      <c r="F13" s="35">
        <v>80</v>
      </c>
      <c r="G13" s="35">
        <v>48</v>
      </c>
      <c r="H13" s="35">
        <v>48</v>
      </c>
      <c r="I13" s="35">
        <v>100</v>
      </c>
      <c r="J13" s="35">
        <v>60</v>
      </c>
      <c r="K13" s="35">
        <v>100</v>
      </c>
      <c r="L13" s="36">
        <f t="shared" si="0"/>
        <v>637</v>
      </c>
    </row>
    <row r="14" spans="1:12" ht="15.95" customHeight="1" x14ac:dyDescent="0.2">
      <c r="A14" s="33">
        <f t="shared" si="1"/>
        <v>10</v>
      </c>
      <c r="B14" s="34" t="s">
        <v>66</v>
      </c>
      <c r="C14" s="35">
        <v>93</v>
      </c>
      <c r="D14" s="35">
        <v>75</v>
      </c>
      <c r="E14" s="35">
        <v>80</v>
      </c>
      <c r="F14" s="35">
        <v>100</v>
      </c>
      <c r="G14" s="35">
        <v>32</v>
      </c>
      <c r="H14" s="35">
        <v>32</v>
      </c>
      <c r="I14" s="35">
        <v>100</v>
      </c>
      <c r="J14" s="35">
        <v>60</v>
      </c>
      <c r="K14" s="35">
        <v>37.5</v>
      </c>
      <c r="L14" s="36">
        <f t="shared" si="0"/>
        <v>609.5</v>
      </c>
    </row>
    <row r="15" spans="1:12" ht="15.95" customHeight="1" x14ac:dyDescent="0.2">
      <c r="A15" s="33">
        <f t="shared" si="1"/>
        <v>11</v>
      </c>
      <c r="B15" s="34" t="s">
        <v>6</v>
      </c>
      <c r="C15" s="35">
        <v>93</v>
      </c>
      <c r="D15" s="35">
        <v>94</v>
      </c>
      <c r="E15" s="35">
        <v>46</v>
      </c>
      <c r="F15" s="35">
        <v>80</v>
      </c>
      <c r="G15" s="35">
        <v>16</v>
      </c>
      <c r="H15" s="35">
        <v>48</v>
      </c>
      <c r="I15" s="35">
        <v>100</v>
      </c>
      <c r="J15" s="35">
        <v>80</v>
      </c>
      <c r="K15" s="35">
        <v>50</v>
      </c>
      <c r="L15" s="36">
        <f t="shared" si="0"/>
        <v>607</v>
      </c>
    </row>
    <row r="16" spans="1:12" ht="15.95" customHeight="1" x14ac:dyDescent="0.2">
      <c r="A16" s="33">
        <f t="shared" si="1"/>
        <v>12</v>
      </c>
      <c r="B16" s="34" t="s">
        <v>9</v>
      </c>
      <c r="C16" s="35">
        <v>93</v>
      </c>
      <c r="D16" s="35">
        <v>75</v>
      </c>
      <c r="E16" s="35">
        <v>69</v>
      </c>
      <c r="F16" s="35">
        <v>80</v>
      </c>
      <c r="G16" s="35">
        <v>16</v>
      </c>
      <c r="H16" s="35">
        <v>32</v>
      </c>
      <c r="I16" s="35">
        <v>125</v>
      </c>
      <c r="J16" s="35">
        <v>60</v>
      </c>
      <c r="K16" s="35">
        <v>50</v>
      </c>
      <c r="L16" s="36">
        <f t="shared" si="0"/>
        <v>600</v>
      </c>
    </row>
    <row r="17" spans="1:12" ht="15.95" customHeight="1" x14ac:dyDescent="0.2">
      <c r="A17" s="33">
        <f t="shared" si="1"/>
        <v>13</v>
      </c>
      <c r="B17" s="17" t="s">
        <v>8</v>
      </c>
      <c r="C17" s="18">
        <v>93</v>
      </c>
      <c r="D17" s="18">
        <v>56</v>
      </c>
      <c r="E17" s="18">
        <v>57</v>
      </c>
      <c r="F17" s="18">
        <v>60</v>
      </c>
      <c r="G17" s="18">
        <v>48</v>
      </c>
      <c r="H17" s="18">
        <v>48</v>
      </c>
      <c r="I17" s="18">
        <v>100</v>
      </c>
      <c r="J17" s="18">
        <v>80</v>
      </c>
      <c r="K17" s="18">
        <v>50</v>
      </c>
      <c r="L17" s="19">
        <f t="shared" si="0"/>
        <v>592</v>
      </c>
    </row>
    <row r="18" spans="1:12" ht="15.95" customHeight="1" x14ac:dyDescent="0.2">
      <c r="A18" s="33">
        <f t="shared" si="1"/>
        <v>14</v>
      </c>
      <c r="B18" s="26" t="s">
        <v>117</v>
      </c>
      <c r="C18" s="27">
        <v>93</v>
      </c>
      <c r="D18" s="27">
        <v>19</v>
      </c>
      <c r="E18" s="27">
        <v>34</v>
      </c>
      <c r="F18" s="27">
        <v>100</v>
      </c>
      <c r="G18" s="27">
        <v>32</v>
      </c>
      <c r="H18" s="27">
        <v>48</v>
      </c>
      <c r="I18" s="27">
        <v>100</v>
      </c>
      <c r="J18" s="27">
        <v>100</v>
      </c>
      <c r="K18" s="27">
        <v>50</v>
      </c>
      <c r="L18" s="28">
        <f t="shared" si="0"/>
        <v>576</v>
      </c>
    </row>
    <row r="19" spans="1:12" ht="15.95" customHeight="1" x14ac:dyDescent="0.2">
      <c r="A19" s="33">
        <f t="shared" si="1"/>
        <v>15</v>
      </c>
      <c r="B19" s="12" t="s">
        <v>13</v>
      </c>
      <c r="C19" s="13">
        <v>80</v>
      </c>
      <c r="D19" s="13">
        <v>38</v>
      </c>
      <c r="E19" s="13">
        <v>34</v>
      </c>
      <c r="F19" s="13">
        <v>60</v>
      </c>
      <c r="G19" s="13">
        <v>80</v>
      </c>
      <c r="H19" s="13">
        <v>48</v>
      </c>
      <c r="I19" s="13">
        <v>75</v>
      </c>
      <c r="J19" s="13">
        <v>60</v>
      </c>
      <c r="K19" s="13">
        <v>25</v>
      </c>
      <c r="L19" s="14">
        <f t="shared" si="0"/>
        <v>500</v>
      </c>
    </row>
    <row r="20" spans="1:12" ht="15.95" customHeight="1" x14ac:dyDescent="0.2">
      <c r="A20" s="33">
        <f t="shared" si="1"/>
        <v>16</v>
      </c>
      <c r="B20" s="12" t="s">
        <v>17</v>
      </c>
      <c r="C20" s="13">
        <v>67</v>
      </c>
      <c r="D20" s="13">
        <v>38</v>
      </c>
      <c r="E20" s="13">
        <v>34</v>
      </c>
      <c r="F20" s="13">
        <v>60</v>
      </c>
      <c r="G20" s="13">
        <v>64</v>
      </c>
      <c r="H20" s="13">
        <v>48</v>
      </c>
      <c r="I20" s="13">
        <v>75</v>
      </c>
      <c r="J20" s="13">
        <v>60</v>
      </c>
      <c r="K20" s="13">
        <v>37.5</v>
      </c>
      <c r="L20" s="14">
        <f t="shared" si="0"/>
        <v>483.5</v>
      </c>
    </row>
    <row r="21" spans="1:12" ht="15.95" customHeight="1" x14ac:dyDescent="0.2">
      <c r="A21" s="33">
        <f t="shared" si="1"/>
        <v>17</v>
      </c>
      <c r="B21" s="12" t="s">
        <v>38</v>
      </c>
      <c r="C21" s="13">
        <v>67</v>
      </c>
      <c r="D21" s="13">
        <v>38</v>
      </c>
      <c r="E21" s="13">
        <v>46</v>
      </c>
      <c r="F21" s="13">
        <v>80</v>
      </c>
      <c r="G21" s="13">
        <v>32</v>
      </c>
      <c r="H21" s="13">
        <v>32</v>
      </c>
      <c r="I21" s="13">
        <v>75</v>
      </c>
      <c r="J21" s="13">
        <v>60</v>
      </c>
      <c r="K21" s="13">
        <v>37.5</v>
      </c>
      <c r="L21" s="14">
        <f t="shared" si="0"/>
        <v>467.5</v>
      </c>
    </row>
    <row r="22" spans="1:12" ht="15.95" customHeight="1" x14ac:dyDescent="0.2">
      <c r="A22" s="33">
        <f t="shared" si="1"/>
        <v>18</v>
      </c>
      <c r="B22" s="17" t="s">
        <v>39</v>
      </c>
      <c r="C22" s="18">
        <v>67</v>
      </c>
      <c r="D22" s="18">
        <v>38</v>
      </c>
      <c r="E22" s="18">
        <v>46</v>
      </c>
      <c r="F22" s="18">
        <v>80</v>
      </c>
      <c r="G22" s="18">
        <v>16</v>
      </c>
      <c r="H22" s="18">
        <v>32</v>
      </c>
      <c r="I22" s="18">
        <v>75</v>
      </c>
      <c r="J22" s="18">
        <v>60</v>
      </c>
      <c r="K22" s="18">
        <v>37.5</v>
      </c>
      <c r="L22" s="19">
        <f t="shared" si="0"/>
        <v>451.5</v>
      </c>
    </row>
    <row r="23" spans="1:12" ht="15.95" customHeight="1" x14ac:dyDescent="0.2">
      <c r="A23" s="33">
        <f t="shared" si="1"/>
        <v>19</v>
      </c>
      <c r="B23" s="42" t="s">
        <v>121</v>
      </c>
      <c r="C23" s="100">
        <v>67</v>
      </c>
      <c r="D23" s="100">
        <v>38</v>
      </c>
      <c r="E23" s="100">
        <v>34</v>
      </c>
      <c r="F23" s="100">
        <v>60</v>
      </c>
      <c r="G23" s="100">
        <v>48</v>
      </c>
      <c r="H23" s="100">
        <v>32</v>
      </c>
      <c r="I23" s="100">
        <v>75</v>
      </c>
      <c r="J23" s="100">
        <v>60</v>
      </c>
      <c r="K23" s="100">
        <v>25</v>
      </c>
      <c r="L23" s="15">
        <f t="shared" si="0"/>
        <v>439</v>
      </c>
    </row>
    <row r="24" spans="1:12" ht="15.95" customHeight="1" x14ac:dyDescent="0.2">
      <c r="A24" s="33">
        <f t="shared" si="1"/>
        <v>20</v>
      </c>
      <c r="B24" s="99" t="s">
        <v>119</v>
      </c>
      <c r="C24" s="100">
        <v>67</v>
      </c>
      <c r="D24" s="100">
        <v>38</v>
      </c>
      <c r="E24" s="100">
        <v>46</v>
      </c>
      <c r="F24" s="100">
        <v>60</v>
      </c>
      <c r="G24" s="100">
        <v>48</v>
      </c>
      <c r="H24" s="100">
        <v>32</v>
      </c>
      <c r="I24" s="100">
        <v>50</v>
      </c>
      <c r="J24" s="100">
        <v>60</v>
      </c>
      <c r="K24" s="100">
        <v>25</v>
      </c>
      <c r="L24" s="15">
        <f t="shared" si="0"/>
        <v>426</v>
      </c>
    </row>
    <row r="25" spans="1:12" ht="15.95" customHeight="1" x14ac:dyDescent="0.2">
      <c r="A25" s="33">
        <f t="shared" si="1"/>
        <v>21</v>
      </c>
      <c r="B25" s="12" t="s">
        <v>118</v>
      </c>
      <c r="C25" s="13">
        <v>67</v>
      </c>
      <c r="D25" s="13">
        <v>38</v>
      </c>
      <c r="E25" s="13">
        <v>46</v>
      </c>
      <c r="F25" s="13">
        <v>60</v>
      </c>
      <c r="G25" s="13">
        <v>48</v>
      </c>
      <c r="H25" s="13">
        <v>32</v>
      </c>
      <c r="I25" s="13">
        <v>50</v>
      </c>
      <c r="J25" s="13">
        <v>60</v>
      </c>
      <c r="K25" s="13">
        <v>25</v>
      </c>
      <c r="L25" s="14">
        <f t="shared" si="0"/>
        <v>426</v>
      </c>
    </row>
    <row r="26" spans="1:12" ht="15.95" customHeight="1" x14ac:dyDescent="0.2">
      <c r="A26" s="33">
        <f t="shared" si="1"/>
        <v>22</v>
      </c>
      <c r="B26" s="12" t="s">
        <v>16</v>
      </c>
      <c r="C26" s="13">
        <v>67</v>
      </c>
      <c r="D26" s="13">
        <v>38</v>
      </c>
      <c r="E26" s="13">
        <v>34</v>
      </c>
      <c r="F26" s="13">
        <v>60</v>
      </c>
      <c r="G26" s="13">
        <v>32</v>
      </c>
      <c r="H26" s="13">
        <v>32</v>
      </c>
      <c r="I26" s="13">
        <v>75</v>
      </c>
      <c r="J26" s="13">
        <v>60</v>
      </c>
      <c r="K26" s="13">
        <v>25</v>
      </c>
      <c r="L26" s="14">
        <f t="shared" si="0"/>
        <v>423</v>
      </c>
    </row>
    <row r="27" spans="1:12" ht="15.95" customHeight="1" x14ac:dyDescent="0.2">
      <c r="A27" s="33">
        <f t="shared" si="1"/>
        <v>23</v>
      </c>
      <c r="B27" s="34" t="s">
        <v>24</v>
      </c>
      <c r="C27" s="35">
        <v>67</v>
      </c>
      <c r="D27" s="35">
        <v>38</v>
      </c>
      <c r="E27" s="35">
        <v>46</v>
      </c>
      <c r="F27" s="35">
        <v>40</v>
      </c>
      <c r="G27" s="35">
        <v>80</v>
      </c>
      <c r="H27" s="35">
        <v>32</v>
      </c>
      <c r="I27" s="35">
        <v>75</v>
      </c>
      <c r="J27" s="35">
        <v>20</v>
      </c>
      <c r="K27" s="35">
        <v>25</v>
      </c>
      <c r="L27" s="36">
        <f t="shared" si="0"/>
        <v>423</v>
      </c>
    </row>
    <row r="28" spans="1:12" ht="15.95" customHeight="1" x14ac:dyDescent="0.2">
      <c r="A28" s="33">
        <f t="shared" si="1"/>
        <v>24</v>
      </c>
      <c r="B28" s="12" t="s">
        <v>15</v>
      </c>
      <c r="C28" s="13">
        <v>67</v>
      </c>
      <c r="D28" s="13">
        <v>38</v>
      </c>
      <c r="E28" s="13">
        <v>34</v>
      </c>
      <c r="F28" s="13">
        <v>60</v>
      </c>
      <c r="G28" s="13">
        <v>16</v>
      </c>
      <c r="H28" s="13">
        <v>32</v>
      </c>
      <c r="I28" s="13">
        <v>75</v>
      </c>
      <c r="J28" s="13">
        <v>60</v>
      </c>
      <c r="K28" s="13">
        <v>37.5</v>
      </c>
      <c r="L28" s="14">
        <f t="shared" si="0"/>
        <v>419.5</v>
      </c>
    </row>
    <row r="29" spans="1:12" ht="15.95" customHeight="1" x14ac:dyDescent="0.2">
      <c r="A29" s="33">
        <f t="shared" si="1"/>
        <v>25</v>
      </c>
      <c r="B29" s="34" t="s">
        <v>65</v>
      </c>
      <c r="C29" s="35">
        <v>80</v>
      </c>
      <c r="D29" s="35">
        <v>19</v>
      </c>
      <c r="E29" s="35">
        <v>80</v>
      </c>
      <c r="F29" s="35">
        <v>60</v>
      </c>
      <c r="G29" s="35">
        <v>32</v>
      </c>
      <c r="H29" s="35">
        <v>16</v>
      </c>
      <c r="I29" s="35">
        <v>100</v>
      </c>
      <c r="J29" s="35">
        <v>20</v>
      </c>
      <c r="K29" s="35">
        <v>12.5</v>
      </c>
      <c r="L29" s="36">
        <f t="shared" si="0"/>
        <v>419.5</v>
      </c>
    </row>
    <row r="30" spans="1:12" ht="15.95" customHeight="1" x14ac:dyDescent="0.2">
      <c r="A30" s="33">
        <f t="shared" si="1"/>
        <v>26</v>
      </c>
      <c r="B30" s="12" t="s">
        <v>72</v>
      </c>
      <c r="C30" s="13">
        <v>67</v>
      </c>
      <c r="D30" s="13">
        <v>38</v>
      </c>
      <c r="E30" s="13">
        <v>34</v>
      </c>
      <c r="F30" s="13">
        <v>40</v>
      </c>
      <c r="G30" s="13">
        <v>64</v>
      </c>
      <c r="H30" s="13">
        <v>32</v>
      </c>
      <c r="I30" s="13">
        <v>50</v>
      </c>
      <c r="J30" s="13">
        <v>60</v>
      </c>
      <c r="K30" s="13">
        <v>25</v>
      </c>
      <c r="L30" s="14">
        <f t="shared" si="0"/>
        <v>410</v>
      </c>
    </row>
    <row r="31" spans="1:12" ht="15.95" customHeight="1" x14ac:dyDescent="0.2">
      <c r="A31" s="33">
        <f t="shared" si="1"/>
        <v>27</v>
      </c>
      <c r="B31" s="12" t="s">
        <v>14</v>
      </c>
      <c r="C31" s="13">
        <v>67</v>
      </c>
      <c r="D31" s="13">
        <v>38</v>
      </c>
      <c r="E31" s="13">
        <v>34</v>
      </c>
      <c r="F31" s="13">
        <v>60</v>
      </c>
      <c r="G31" s="13">
        <v>16</v>
      </c>
      <c r="H31" s="13">
        <v>32</v>
      </c>
      <c r="I31" s="13">
        <v>75</v>
      </c>
      <c r="J31" s="13">
        <v>60</v>
      </c>
      <c r="K31" s="13">
        <v>25</v>
      </c>
      <c r="L31" s="14">
        <f t="shared" si="0"/>
        <v>407</v>
      </c>
    </row>
    <row r="32" spans="1:12" ht="15.95" customHeight="1" x14ac:dyDescent="0.2">
      <c r="A32" s="33">
        <f t="shared" si="1"/>
        <v>28</v>
      </c>
      <c r="B32" s="17" t="s">
        <v>73</v>
      </c>
      <c r="C32" s="18">
        <v>40</v>
      </c>
      <c r="D32" s="18">
        <v>38</v>
      </c>
      <c r="E32" s="18">
        <v>34</v>
      </c>
      <c r="F32" s="18">
        <v>60</v>
      </c>
      <c r="G32" s="18">
        <v>32</v>
      </c>
      <c r="H32" s="18">
        <v>32</v>
      </c>
      <c r="I32" s="18">
        <v>50</v>
      </c>
      <c r="J32" s="18">
        <v>60</v>
      </c>
      <c r="K32" s="18">
        <v>25</v>
      </c>
      <c r="L32" s="19">
        <f t="shared" si="0"/>
        <v>371</v>
      </c>
    </row>
    <row r="33" spans="1:12" ht="15.95" customHeight="1" x14ac:dyDescent="0.2">
      <c r="A33" s="33">
        <f t="shared" si="1"/>
        <v>29</v>
      </c>
      <c r="B33" s="92" t="s">
        <v>120</v>
      </c>
      <c r="C33" s="105">
        <v>67</v>
      </c>
      <c r="D33" s="105">
        <v>19</v>
      </c>
      <c r="E33" s="105">
        <v>11</v>
      </c>
      <c r="F33" s="105">
        <v>60</v>
      </c>
      <c r="G33" s="105">
        <v>32</v>
      </c>
      <c r="H33" s="105">
        <v>16</v>
      </c>
      <c r="I33" s="105">
        <v>75</v>
      </c>
      <c r="J33" s="105">
        <v>40</v>
      </c>
      <c r="K33" s="105">
        <v>12.5</v>
      </c>
      <c r="L33" s="90">
        <f t="shared" si="0"/>
        <v>332.5</v>
      </c>
    </row>
    <row r="34" spans="1:12" ht="15.95" customHeight="1" x14ac:dyDescent="0.2">
      <c r="A34" s="33">
        <f t="shared" si="1"/>
        <v>30</v>
      </c>
      <c r="B34" s="26" t="s">
        <v>122</v>
      </c>
      <c r="C34" s="27">
        <v>67</v>
      </c>
      <c r="D34" s="27">
        <v>19</v>
      </c>
      <c r="E34" s="27">
        <v>11</v>
      </c>
      <c r="F34" s="27">
        <v>60</v>
      </c>
      <c r="G34" s="27">
        <v>32</v>
      </c>
      <c r="H34" s="27">
        <v>16</v>
      </c>
      <c r="I34" s="27">
        <v>75</v>
      </c>
      <c r="J34" s="27">
        <v>40</v>
      </c>
      <c r="K34" s="27">
        <v>12.5</v>
      </c>
      <c r="L34" s="28">
        <f t="shared" si="0"/>
        <v>332.5</v>
      </c>
    </row>
    <row r="35" spans="1:12" ht="15.95" customHeight="1" x14ac:dyDescent="0.2">
      <c r="A35" s="33">
        <f t="shared" si="1"/>
        <v>31</v>
      </c>
      <c r="B35" s="34" t="s">
        <v>23</v>
      </c>
      <c r="C35" s="35">
        <v>40</v>
      </c>
      <c r="D35" s="35">
        <v>19</v>
      </c>
      <c r="E35" s="35">
        <v>11</v>
      </c>
      <c r="F35" s="35">
        <v>40</v>
      </c>
      <c r="G35" s="35">
        <v>80</v>
      </c>
      <c r="H35" s="35">
        <v>32</v>
      </c>
      <c r="I35" s="35">
        <v>50</v>
      </c>
      <c r="J35" s="35">
        <v>40</v>
      </c>
      <c r="K35" s="35">
        <v>12.5</v>
      </c>
      <c r="L35" s="36">
        <f t="shared" si="0"/>
        <v>324.5</v>
      </c>
    </row>
    <row r="36" spans="1:12" ht="15.95" customHeight="1" x14ac:dyDescent="0.2">
      <c r="A36" s="33">
        <f t="shared" si="1"/>
        <v>32</v>
      </c>
      <c r="B36" s="34" t="s">
        <v>21</v>
      </c>
      <c r="C36" s="35">
        <v>40</v>
      </c>
      <c r="D36" s="35">
        <v>19</v>
      </c>
      <c r="E36" s="35">
        <v>23</v>
      </c>
      <c r="F36" s="35">
        <v>40</v>
      </c>
      <c r="G36" s="35">
        <v>48</v>
      </c>
      <c r="H36" s="35">
        <v>16</v>
      </c>
      <c r="I36" s="35">
        <v>75</v>
      </c>
      <c r="J36" s="35">
        <v>40</v>
      </c>
      <c r="K36" s="35">
        <v>12.5</v>
      </c>
      <c r="L36" s="36">
        <f t="shared" si="0"/>
        <v>313.5</v>
      </c>
    </row>
    <row r="37" spans="1:12" ht="15.95" customHeight="1" x14ac:dyDescent="0.2">
      <c r="A37" s="33">
        <f t="shared" si="1"/>
        <v>33</v>
      </c>
      <c r="B37" s="12" t="s">
        <v>20</v>
      </c>
      <c r="C37" s="13">
        <v>40</v>
      </c>
      <c r="D37" s="13">
        <v>19</v>
      </c>
      <c r="E37" s="13">
        <v>11</v>
      </c>
      <c r="F37" s="13">
        <v>40</v>
      </c>
      <c r="G37" s="13">
        <v>32</v>
      </c>
      <c r="H37" s="13">
        <v>16</v>
      </c>
      <c r="I37" s="13">
        <v>25</v>
      </c>
      <c r="J37" s="13">
        <v>40</v>
      </c>
      <c r="K37" s="13">
        <v>12.5</v>
      </c>
      <c r="L37" s="14">
        <f t="shared" si="0"/>
        <v>235.5</v>
      </c>
    </row>
    <row r="38" spans="1:12" ht="15.95" customHeight="1" x14ac:dyDescent="0.2">
      <c r="A38" s="33">
        <f t="shared" si="1"/>
        <v>34</v>
      </c>
      <c r="B38" s="99" t="s">
        <v>123</v>
      </c>
      <c r="C38" s="100">
        <v>67</v>
      </c>
      <c r="D38" s="100">
        <v>19</v>
      </c>
      <c r="E38" s="100">
        <v>11</v>
      </c>
      <c r="F38" s="100">
        <v>20</v>
      </c>
      <c r="G38" s="100">
        <v>16</v>
      </c>
      <c r="H38" s="100">
        <v>16</v>
      </c>
      <c r="I38" s="100">
        <v>25</v>
      </c>
      <c r="J38" s="100">
        <v>40</v>
      </c>
      <c r="K38" s="100">
        <v>12.5</v>
      </c>
      <c r="L38" s="15">
        <f t="shared" si="0"/>
        <v>226.5</v>
      </c>
    </row>
    <row r="39" spans="1:12" ht="15.95" customHeight="1" x14ac:dyDescent="0.2">
      <c r="A39" s="33">
        <f t="shared" si="1"/>
        <v>35</v>
      </c>
      <c r="B39" s="12" t="s">
        <v>74</v>
      </c>
      <c r="C39" s="13">
        <v>67</v>
      </c>
      <c r="D39" s="13">
        <v>19</v>
      </c>
      <c r="E39" s="13">
        <v>11</v>
      </c>
      <c r="F39" s="13">
        <v>20</v>
      </c>
      <c r="G39" s="13">
        <v>16</v>
      </c>
      <c r="H39" s="13">
        <v>16</v>
      </c>
      <c r="I39" s="13">
        <v>25</v>
      </c>
      <c r="J39" s="13">
        <v>40</v>
      </c>
      <c r="K39" s="13">
        <v>12.5</v>
      </c>
      <c r="L39" s="14">
        <f t="shared" si="0"/>
        <v>226.5</v>
      </c>
    </row>
    <row r="40" spans="1:12" ht="15.95" customHeight="1" x14ac:dyDescent="0.2">
      <c r="A40" s="33">
        <f t="shared" si="1"/>
        <v>36</v>
      </c>
      <c r="B40" s="12" t="s">
        <v>22</v>
      </c>
      <c r="C40" s="13">
        <v>40</v>
      </c>
      <c r="D40" s="13">
        <v>19</v>
      </c>
      <c r="E40" s="13">
        <v>11</v>
      </c>
      <c r="F40" s="13">
        <v>40</v>
      </c>
      <c r="G40" s="13">
        <v>16</v>
      </c>
      <c r="H40" s="13">
        <v>16</v>
      </c>
      <c r="I40" s="13">
        <v>25</v>
      </c>
      <c r="J40" s="13">
        <v>40</v>
      </c>
      <c r="K40" s="13">
        <v>12.5</v>
      </c>
      <c r="L40" s="14">
        <f t="shared" si="0"/>
        <v>219.5</v>
      </c>
    </row>
    <row r="41" spans="1:12" ht="15.95" customHeight="1" x14ac:dyDescent="0.2">
      <c r="A41" s="33">
        <f t="shared" si="1"/>
        <v>37</v>
      </c>
      <c r="B41" s="12" t="s">
        <v>19</v>
      </c>
      <c r="C41" s="13">
        <v>40</v>
      </c>
      <c r="D41" s="13">
        <v>19</v>
      </c>
      <c r="E41" s="13">
        <v>11</v>
      </c>
      <c r="F41" s="13">
        <v>20</v>
      </c>
      <c r="G41" s="13">
        <v>16</v>
      </c>
      <c r="H41" s="13">
        <v>16</v>
      </c>
      <c r="I41" s="13">
        <v>25</v>
      </c>
      <c r="J41" s="13">
        <v>60</v>
      </c>
      <c r="K41" s="13">
        <v>12.5</v>
      </c>
      <c r="L41" s="14">
        <f t="shared" si="0"/>
        <v>219.5</v>
      </c>
    </row>
    <row r="42" spans="1:12" ht="15.95" customHeight="1" x14ac:dyDescent="0.2">
      <c r="A42" s="33">
        <f t="shared" si="1"/>
        <v>38</v>
      </c>
      <c r="B42" s="12" t="s">
        <v>124</v>
      </c>
      <c r="C42" s="13">
        <v>40</v>
      </c>
      <c r="D42" s="13">
        <v>19</v>
      </c>
      <c r="E42" s="13">
        <v>11</v>
      </c>
      <c r="F42" s="13">
        <v>20</v>
      </c>
      <c r="G42" s="13">
        <v>32</v>
      </c>
      <c r="H42" s="13">
        <v>16</v>
      </c>
      <c r="I42" s="13">
        <v>25</v>
      </c>
      <c r="J42" s="13">
        <v>40</v>
      </c>
      <c r="K42" s="13">
        <v>12.5</v>
      </c>
      <c r="L42" s="14">
        <f t="shared" si="0"/>
        <v>215.5</v>
      </c>
    </row>
    <row r="43" spans="1:12" ht="15.95" customHeight="1" x14ac:dyDescent="0.2">
      <c r="A43" s="33">
        <f t="shared" si="1"/>
        <v>39</v>
      </c>
      <c r="B43" s="12" t="s">
        <v>125</v>
      </c>
      <c r="C43" s="13">
        <v>40</v>
      </c>
      <c r="D43" s="13">
        <v>19</v>
      </c>
      <c r="E43" s="13">
        <v>11</v>
      </c>
      <c r="F43" s="13">
        <v>20</v>
      </c>
      <c r="G43" s="13">
        <v>32</v>
      </c>
      <c r="H43" s="13">
        <v>16</v>
      </c>
      <c r="I43" s="13">
        <v>25</v>
      </c>
      <c r="J43" s="13">
        <v>40</v>
      </c>
      <c r="K43" s="13">
        <v>12.5</v>
      </c>
      <c r="L43" s="14">
        <f t="shared" si="0"/>
        <v>215.5</v>
      </c>
    </row>
    <row r="44" spans="1:12" ht="15.95" customHeight="1" x14ac:dyDescent="0.2">
      <c r="A44" s="33">
        <f t="shared" si="1"/>
        <v>40</v>
      </c>
      <c r="B44" s="12" t="s">
        <v>40</v>
      </c>
      <c r="C44" s="13">
        <v>40</v>
      </c>
      <c r="D44" s="13">
        <v>19</v>
      </c>
      <c r="E44" s="13">
        <v>11</v>
      </c>
      <c r="F44" s="13">
        <v>20</v>
      </c>
      <c r="G44" s="13">
        <v>16</v>
      </c>
      <c r="H44" s="13">
        <v>16</v>
      </c>
      <c r="I44" s="13">
        <v>25</v>
      </c>
      <c r="J44" s="13">
        <v>40</v>
      </c>
      <c r="K44" s="13">
        <v>12.5</v>
      </c>
      <c r="L44" s="14">
        <f t="shared" si="0"/>
        <v>199.5</v>
      </c>
    </row>
    <row r="45" spans="1:12" ht="15.95" customHeight="1" x14ac:dyDescent="0.2">
      <c r="A45" s="33">
        <f t="shared" si="1"/>
        <v>41</v>
      </c>
      <c r="B45" s="12" t="s">
        <v>18</v>
      </c>
      <c r="C45" s="13">
        <v>40</v>
      </c>
      <c r="D45" s="13">
        <v>19</v>
      </c>
      <c r="E45" s="13">
        <v>23</v>
      </c>
      <c r="F45" s="13">
        <v>20</v>
      </c>
      <c r="G45" s="13">
        <v>16</v>
      </c>
      <c r="H45" s="13">
        <v>16</v>
      </c>
      <c r="I45" s="13">
        <v>25</v>
      </c>
      <c r="J45" s="13">
        <v>20</v>
      </c>
      <c r="K45" s="13">
        <v>12.5</v>
      </c>
      <c r="L45" s="14">
        <f t="shared" si="0"/>
        <v>191.5</v>
      </c>
    </row>
    <row r="46" spans="1:12" ht="15.95" customHeight="1" x14ac:dyDescent="0.2">
      <c r="A46" s="29">
        <f t="shared" si="1"/>
        <v>42</v>
      </c>
      <c r="B46" s="30" t="s">
        <v>56</v>
      </c>
      <c r="C46" s="18">
        <v>40</v>
      </c>
      <c r="D46" s="18">
        <v>19</v>
      </c>
      <c r="E46" s="18">
        <v>11</v>
      </c>
      <c r="F46" s="18">
        <v>20</v>
      </c>
      <c r="G46" s="18">
        <v>16</v>
      </c>
      <c r="H46" s="18">
        <v>16</v>
      </c>
      <c r="I46" s="18">
        <v>25</v>
      </c>
      <c r="J46" s="18">
        <v>20</v>
      </c>
      <c r="K46" s="18">
        <v>12.5</v>
      </c>
      <c r="L46" s="19">
        <f t="shared" si="0"/>
        <v>179.5</v>
      </c>
    </row>
    <row r="47" spans="1:12" ht="15.95" customHeight="1" x14ac:dyDescent="0.2">
      <c r="A47" s="7"/>
      <c r="B47" s="8"/>
      <c r="C47" s="9"/>
      <c r="D47" s="9"/>
      <c r="E47" s="9"/>
      <c r="F47" s="9"/>
      <c r="G47" s="9"/>
      <c r="H47" s="9"/>
      <c r="I47" s="9"/>
      <c r="J47" s="9"/>
      <c r="K47" s="9"/>
      <c r="L47" s="10"/>
    </row>
    <row r="48" spans="1:12" ht="15.95" customHeight="1" x14ac:dyDescent="0.2">
      <c r="C48" s="2"/>
      <c r="D48" s="2"/>
      <c r="E48" s="2"/>
      <c r="F48" s="2"/>
      <c r="G48" s="2"/>
      <c r="H48" s="2"/>
      <c r="I48" s="2"/>
      <c r="J48" s="2"/>
      <c r="K48" s="2"/>
      <c r="L48" s="5"/>
    </row>
    <row r="49" spans="13:17" ht="15.95" customHeight="1" x14ac:dyDescent="0.2">
      <c r="M49" s="3"/>
    </row>
    <row r="50" spans="13:17" ht="15.95" customHeight="1" x14ac:dyDescent="0.2">
      <c r="M50" s="3"/>
    </row>
    <row r="51" spans="13:17" ht="15.95" customHeight="1" x14ac:dyDescent="0.2">
      <c r="M51" s="3"/>
    </row>
    <row r="52" spans="13:17" ht="15.95" customHeight="1" x14ac:dyDescent="0.2">
      <c r="M52" s="3"/>
    </row>
    <row r="53" spans="13:17" ht="15.95" customHeight="1" x14ac:dyDescent="0.2">
      <c r="M53" s="3"/>
    </row>
    <row r="54" spans="13:17" ht="15.95" customHeight="1" x14ac:dyDescent="0.2">
      <c r="M54" s="3"/>
    </row>
    <row r="55" spans="13:17" ht="15.95" customHeight="1" x14ac:dyDescent="0.2">
      <c r="M55" s="3"/>
    </row>
    <row r="56" spans="13:17" ht="15.95" customHeight="1" x14ac:dyDescent="0.2">
      <c r="M56" s="3"/>
    </row>
    <row r="57" spans="13:17" ht="15.95" customHeight="1" x14ac:dyDescent="0.2">
      <c r="M57" s="3"/>
    </row>
    <row r="58" spans="13:17" ht="15.95" customHeight="1" x14ac:dyDescent="0.2">
      <c r="M58" s="3"/>
    </row>
    <row r="59" spans="13:17" ht="15.95" customHeight="1" x14ac:dyDescent="0.2">
      <c r="M59" s="3"/>
    </row>
    <row r="60" spans="13:17" ht="15.95" customHeight="1" x14ac:dyDescent="0.2">
      <c r="M60" s="3"/>
    </row>
    <row r="61" spans="13:17" ht="15.95" customHeight="1" x14ac:dyDescent="0.2">
      <c r="M61" s="3"/>
    </row>
    <row r="62" spans="13:17" ht="15.95" customHeight="1" x14ac:dyDescent="0.2">
      <c r="M62" s="174"/>
      <c r="N62" s="174"/>
      <c r="O62" s="174"/>
      <c r="P62" s="174"/>
      <c r="Q62" s="174"/>
    </row>
  </sheetData>
  <mergeCells count="7">
    <mergeCell ref="A3:A4"/>
    <mergeCell ref="C3:E3"/>
    <mergeCell ref="A1:L1"/>
    <mergeCell ref="B3:B4"/>
    <mergeCell ref="L3:L4"/>
    <mergeCell ref="F3:H3"/>
    <mergeCell ref="I3:K3"/>
  </mergeCells>
  <phoneticPr fontId="2" type="noConversion"/>
  <pageMargins left="0.5" right="0.5" top="0.5" bottom="0.5" header="0.5" footer="0.5"/>
  <pageSetup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S81"/>
  <sheetViews>
    <sheetView zoomScaleNormal="100" workbookViewId="0">
      <selection activeCell="A2" sqref="A2"/>
    </sheetView>
  </sheetViews>
  <sheetFormatPr defaultRowHeight="15.95" customHeight="1" x14ac:dyDescent="0.2"/>
  <cols>
    <col min="1" max="1" width="4.140625" style="121" customWidth="1"/>
    <col min="2" max="2" width="32.5703125" customWidth="1"/>
    <col min="3" max="4" width="9.140625" hidden="1" customWidth="1"/>
    <col min="5" max="5" width="10.28515625" hidden="1" customWidth="1"/>
    <col min="6" max="11" width="9.140625" hidden="1" customWidth="1"/>
    <col min="12" max="12" width="9.140625" style="4"/>
    <col min="13" max="13" width="10.28515625" style="114" customWidth="1"/>
    <col min="14" max="14" width="15.28515625" customWidth="1"/>
    <col min="15" max="15" width="16" customWidth="1"/>
    <col min="16" max="16" width="14.85546875" customWidth="1"/>
    <col min="17" max="17" width="15.85546875" customWidth="1"/>
    <col min="19" max="19" width="4.5703125" customWidth="1"/>
    <col min="20" max="20" width="6" customWidth="1"/>
  </cols>
  <sheetData>
    <row r="1" spans="1:19" ht="21" customHeight="1" x14ac:dyDescent="0.25">
      <c r="A1" s="191" t="s">
        <v>161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</row>
    <row r="2" spans="1:19" ht="11.25" customHeight="1" x14ac:dyDescent="0.2">
      <c r="A2" s="7"/>
    </row>
    <row r="3" spans="1:19" ht="15.95" customHeight="1" x14ac:dyDescent="0.2">
      <c r="A3" s="192" t="s">
        <v>37</v>
      </c>
      <c r="B3" s="194" t="s">
        <v>0</v>
      </c>
      <c r="C3" s="185" t="s">
        <v>25</v>
      </c>
      <c r="D3" s="186"/>
      <c r="E3" s="187"/>
      <c r="F3" s="185" t="s">
        <v>26</v>
      </c>
      <c r="G3" s="186"/>
      <c r="H3" s="187"/>
      <c r="I3" s="185" t="s">
        <v>27</v>
      </c>
      <c r="J3" s="186"/>
      <c r="K3" s="186"/>
      <c r="L3" s="189" t="s">
        <v>41</v>
      </c>
      <c r="M3" s="115"/>
      <c r="N3" s="185" t="s">
        <v>80</v>
      </c>
      <c r="O3" s="186"/>
      <c r="P3" s="186"/>
      <c r="Q3" s="187"/>
    </row>
    <row r="4" spans="1:19" ht="15.95" customHeight="1" x14ac:dyDescent="0.2">
      <c r="A4" s="193"/>
      <c r="B4" s="195"/>
      <c r="C4" s="22" t="s">
        <v>28</v>
      </c>
      <c r="D4" s="22" t="s">
        <v>29</v>
      </c>
      <c r="E4" s="22" t="s">
        <v>30</v>
      </c>
      <c r="F4" s="22" t="s">
        <v>31</v>
      </c>
      <c r="G4" s="22" t="s">
        <v>32</v>
      </c>
      <c r="H4" s="22" t="s">
        <v>33</v>
      </c>
      <c r="I4" s="22" t="s">
        <v>34</v>
      </c>
      <c r="J4" s="22" t="s">
        <v>35</v>
      </c>
      <c r="K4" s="108" t="s">
        <v>36</v>
      </c>
      <c r="L4" s="190"/>
      <c r="M4" s="111" t="s">
        <v>75</v>
      </c>
      <c r="N4" s="21" t="s">
        <v>76</v>
      </c>
      <c r="O4" s="61" t="s">
        <v>77</v>
      </c>
      <c r="P4" s="21" t="s">
        <v>78</v>
      </c>
      <c r="Q4" s="21" t="s">
        <v>79</v>
      </c>
    </row>
    <row r="5" spans="1:19" ht="15.95" customHeight="1" x14ac:dyDescent="0.2">
      <c r="A5" s="25">
        <v>1</v>
      </c>
      <c r="B5" s="102" t="s">
        <v>1</v>
      </c>
      <c r="C5" s="27">
        <v>120</v>
      </c>
      <c r="D5" s="27">
        <v>113</v>
      </c>
      <c r="E5" s="27">
        <v>69</v>
      </c>
      <c r="F5" s="27">
        <v>120</v>
      </c>
      <c r="G5" s="27">
        <v>32</v>
      </c>
      <c r="H5" s="27">
        <v>80</v>
      </c>
      <c r="I5" s="27">
        <v>150</v>
      </c>
      <c r="J5" s="27">
        <v>100</v>
      </c>
      <c r="K5" s="109">
        <v>100</v>
      </c>
      <c r="L5" s="28">
        <f t="shared" ref="L5:L32" si="0">SUM(C5:K5)</f>
        <v>884</v>
      </c>
      <c r="M5" s="132">
        <v>1</v>
      </c>
      <c r="N5" s="133">
        <v>10000000</v>
      </c>
      <c r="O5" s="134">
        <v>12000000</v>
      </c>
      <c r="P5" s="133">
        <v>14000000</v>
      </c>
      <c r="Q5" s="135">
        <v>17000000</v>
      </c>
    </row>
    <row r="6" spans="1:19" ht="15.95" customHeight="1" x14ac:dyDescent="0.2">
      <c r="A6" s="29">
        <f>A5+1</f>
        <v>2</v>
      </c>
      <c r="B6" s="120" t="s">
        <v>2</v>
      </c>
      <c r="C6" s="31">
        <v>120</v>
      </c>
      <c r="D6" s="31">
        <v>113</v>
      </c>
      <c r="E6" s="31">
        <v>69</v>
      </c>
      <c r="F6" s="31">
        <v>120</v>
      </c>
      <c r="G6" s="31">
        <v>16</v>
      </c>
      <c r="H6" s="31">
        <v>64</v>
      </c>
      <c r="I6" s="31">
        <v>150</v>
      </c>
      <c r="J6" s="31">
        <v>100</v>
      </c>
      <c r="K6" s="110">
        <v>87.5</v>
      </c>
      <c r="L6" s="32">
        <f t="shared" si="0"/>
        <v>839.5</v>
      </c>
      <c r="M6" s="136"/>
      <c r="N6" s="137" t="s">
        <v>156</v>
      </c>
      <c r="O6" s="138" t="s">
        <v>157</v>
      </c>
      <c r="P6" s="137" t="s">
        <v>158</v>
      </c>
      <c r="Q6" s="139" t="s">
        <v>159</v>
      </c>
    </row>
    <row r="7" spans="1:19" ht="15.95" customHeight="1" x14ac:dyDescent="0.2">
      <c r="A7" s="25">
        <f t="shared" ref="A7:A60" si="1">A6+1</f>
        <v>3</v>
      </c>
      <c r="B7" s="81" t="s">
        <v>4</v>
      </c>
      <c r="C7" s="82">
        <v>107</v>
      </c>
      <c r="D7" s="82">
        <v>113</v>
      </c>
      <c r="E7" s="82">
        <v>57</v>
      </c>
      <c r="F7" s="82">
        <v>100</v>
      </c>
      <c r="G7" s="82">
        <v>48</v>
      </c>
      <c r="H7" s="82">
        <v>64</v>
      </c>
      <c r="I7" s="82">
        <v>125</v>
      </c>
      <c r="J7" s="82">
        <v>100</v>
      </c>
      <c r="K7" s="82">
        <v>50</v>
      </c>
      <c r="L7" s="28">
        <f t="shared" si="0"/>
        <v>764</v>
      </c>
      <c r="M7" s="132">
        <v>2</v>
      </c>
      <c r="N7" s="133">
        <v>5000000</v>
      </c>
      <c r="O7" s="134">
        <v>6000000</v>
      </c>
      <c r="P7" s="133">
        <v>7000000</v>
      </c>
      <c r="Q7" s="135">
        <v>9000000</v>
      </c>
    </row>
    <row r="8" spans="1:19" ht="15.95" customHeight="1" x14ac:dyDescent="0.2">
      <c r="A8" s="33">
        <f t="shared" si="1"/>
        <v>4</v>
      </c>
      <c r="B8" s="79" t="s">
        <v>3</v>
      </c>
      <c r="C8" s="80">
        <v>107</v>
      </c>
      <c r="D8" s="80">
        <v>75</v>
      </c>
      <c r="E8" s="80">
        <v>57</v>
      </c>
      <c r="F8" s="80">
        <v>120</v>
      </c>
      <c r="G8" s="80">
        <v>32</v>
      </c>
      <c r="H8" s="80">
        <v>80</v>
      </c>
      <c r="I8" s="80">
        <v>125</v>
      </c>
      <c r="J8" s="80">
        <v>100</v>
      </c>
      <c r="K8" s="80">
        <v>50</v>
      </c>
      <c r="L8" s="14">
        <f t="shared" si="0"/>
        <v>746</v>
      </c>
      <c r="M8" s="126" t="s">
        <v>128</v>
      </c>
      <c r="N8" s="175" t="s">
        <v>160</v>
      </c>
      <c r="O8" s="179" t="s">
        <v>160</v>
      </c>
      <c r="P8" s="175" t="s">
        <v>160</v>
      </c>
      <c r="Q8" s="180" t="s">
        <v>160</v>
      </c>
    </row>
    <row r="9" spans="1:19" ht="15.95" customHeight="1" x14ac:dyDescent="0.2">
      <c r="A9" s="33">
        <f t="shared" si="1"/>
        <v>5</v>
      </c>
      <c r="B9" s="77" t="s">
        <v>11</v>
      </c>
      <c r="C9" s="78">
        <v>93</v>
      </c>
      <c r="D9" s="78">
        <v>75</v>
      </c>
      <c r="E9" s="78">
        <v>69</v>
      </c>
      <c r="F9" s="78">
        <v>100</v>
      </c>
      <c r="G9" s="78">
        <v>48</v>
      </c>
      <c r="H9" s="78">
        <v>64</v>
      </c>
      <c r="I9" s="78">
        <v>100</v>
      </c>
      <c r="J9" s="78">
        <v>100</v>
      </c>
      <c r="K9" s="78">
        <v>87.5</v>
      </c>
      <c r="L9" s="36">
        <f t="shared" si="0"/>
        <v>736.5</v>
      </c>
      <c r="M9" s="126" t="s">
        <v>127</v>
      </c>
      <c r="N9" s="123">
        <v>6000000</v>
      </c>
      <c r="O9" s="124">
        <v>7000000</v>
      </c>
      <c r="P9" s="123">
        <v>9000000</v>
      </c>
      <c r="Q9" s="125">
        <v>12000000</v>
      </c>
    </row>
    <row r="10" spans="1:19" ht="15.95" customHeight="1" x14ac:dyDescent="0.2">
      <c r="A10" s="33">
        <f t="shared" si="1"/>
        <v>6</v>
      </c>
      <c r="B10" s="77" t="s">
        <v>5</v>
      </c>
      <c r="C10" s="78">
        <v>93</v>
      </c>
      <c r="D10" s="78">
        <v>75</v>
      </c>
      <c r="E10" s="78">
        <v>69</v>
      </c>
      <c r="F10" s="78">
        <v>100</v>
      </c>
      <c r="G10" s="78">
        <v>32</v>
      </c>
      <c r="H10" s="78">
        <v>48</v>
      </c>
      <c r="I10" s="78">
        <v>100</v>
      </c>
      <c r="J10" s="78">
        <v>80</v>
      </c>
      <c r="K10" s="78">
        <v>50</v>
      </c>
      <c r="L10" s="36">
        <f t="shared" si="0"/>
        <v>647</v>
      </c>
      <c r="M10" s="122"/>
      <c r="N10" s="127"/>
      <c r="O10" s="79"/>
      <c r="P10" s="127"/>
      <c r="Q10" s="128"/>
    </row>
    <row r="11" spans="1:19" ht="15.95" customHeight="1" x14ac:dyDescent="0.2">
      <c r="A11" s="29">
        <f t="shared" si="1"/>
        <v>7</v>
      </c>
      <c r="B11" s="104" t="s">
        <v>7</v>
      </c>
      <c r="C11" s="86">
        <v>93</v>
      </c>
      <c r="D11" s="86">
        <v>94</v>
      </c>
      <c r="E11" s="86">
        <v>57</v>
      </c>
      <c r="F11" s="86">
        <v>80</v>
      </c>
      <c r="G11" s="86">
        <v>16</v>
      </c>
      <c r="H11" s="86">
        <v>48</v>
      </c>
      <c r="I11" s="86">
        <v>125</v>
      </c>
      <c r="J11" s="86">
        <v>80</v>
      </c>
      <c r="K11" s="86">
        <v>50</v>
      </c>
      <c r="L11" s="19">
        <f t="shared" si="0"/>
        <v>643</v>
      </c>
      <c r="M11" s="141"/>
      <c r="N11" s="137"/>
      <c r="O11" s="138"/>
      <c r="P11" s="137"/>
      <c r="Q11" s="139"/>
    </row>
    <row r="12" spans="1:19" ht="15.95" customHeight="1" x14ac:dyDescent="0.2">
      <c r="A12" s="25">
        <f t="shared" si="1"/>
        <v>8</v>
      </c>
      <c r="B12" s="84" t="s">
        <v>10</v>
      </c>
      <c r="C12" s="85">
        <v>93</v>
      </c>
      <c r="D12" s="85">
        <v>75</v>
      </c>
      <c r="E12" s="85">
        <v>57</v>
      </c>
      <c r="F12" s="85">
        <v>80</v>
      </c>
      <c r="G12" s="85">
        <v>32</v>
      </c>
      <c r="H12" s="85">
        <v>48</v>
      </c>
      <c r="I12" s="85">
        <v>125</v>
      </c>
      <c r="J12" s="85">
        <v>80</v>
      </c>
      <c r="K12" s="85">
        <v>50</v>
      </c>
      <c r="L12" s="15">
        <f t="shared" si="0"/>
        <v>640</v>
      </c>
      <c r="M12" s="140">
        <v>3</v>
      </c>
      <c r="N12" s="133">
        <v>3500000</v>
      </c>
      <c r="O12" s="134">
        <v>4500000</v>
      </c>
      <c r="P12" s="133">
        <v>5500000</v>
      </c>
      <c r="Q12" s="135">
        <v>6500000</v>
      </c>
    </row>
    <row r="13" spans="1:19" ht="15.95" customHeight="1" x14ac:dyDescent="0.2">
      <c r="A13" s="33">
        <f t="shared" si="1"/>
        <v>9</v>
      </c>
      <c r="B13" s="77" t="s">
        <v>12</v>
      </c>
      <c r="C13" s="78">
        <v>80</v>
      </c>
      <c r="D13" s="78">
        <v>75</v>
      </c>
      <c r="E13" s="78">
        <v>46</v>
      </c>
      <c r="F13" s="78">
        <v>80</v>
      </c>
      <c r="G13" s="78">
        <v>48</v>
      </c>
      <c r="H13" s="78">
        <v>48</v>
      </c>
      <c r="I13" s="78">
        <v>100</v>
      </c>
      <c r="J13" s="78">
        <v>60</v>
      </c>
      <c r="K13" s="78">
        <v>100</v>
      </c>
      <c r="L13" s="36">
        <f t="shared" si="0"/>
        <v>637</v>
      </c>
      <c r="M13" s="126" t="s">
        <v>128</v>
      </c>
      <c r="N13" s="175" t="s">
        <v>160</v>
      </c>
      <c r="O13" s="179" t="s">
        <v>160</v>
      </c>
      <c r="P13" s="175" t="s">
        <v>160</v>
      </c>
      <c r="Q13" s="180" t="s">
        <v>160</v>
      </c>
    </row>
    <row r="14" spans="1:19" ht="15.95" customHeight="1" x14ac:dyDescent="0.2">
      <c r="A14" s="33">
        <f t="shared" si="1"/>
        <v>10</v>
      </c>
      <c r="B14" s="77" t="s">
        <v>66</v>
      </c>
      <c r="C14" s="78">
        <v>93</v>
      </c>
      <c r="D14" s="78">
        <v>75</v>
      </c>
      <c r="E14" s="78">
        <v>80</v>
      </c>
      <c r="F14" s="78">
        <v>100</v>
      </c>
      <c r="G14" s="78">
        <v>32</v>
      </c>
      <c r="H14" s="78">
        <v>32</v>
      </c>
      <c r="I14" s="78">
        <v>100</v>
      </c>
      <c r="J14" s="78">
        <v>60</v>
      </c>
      <c r="K14" s="78">
        <v>37.5</v>
      </c>
      <c r="L14" s="36">
        <f t="shared" si="0"/>
        <v>609.5</v>
      </c>
      <c r="M14" s="126"/>
      <c r="N14" s="123">
        <v>4500000</v>
      </c>
      <c r="O14" s="124">
        <v>5500000</v>
      </c>
      <c r="P14" s="123">
        <v>6500000</v>
      </c>
      <c r="Q14" s="125">
        <v>8000000</v>
      </c>
    </row>
    <row r="15" spans="1:19" ht="15.95" customHeight="1" x14ac:dyDescent="0.2">
      <c r="A15" s="33">
        <f t="shared" si="1"/>
        <v>11</v>
      </c>
      <c r="B15" s="77" t="s">
        <v>6</v>
      </c>
      <c r="C15" s="78">
        <v>93</v>
      </c>
      <c r="D15" s="78">
        <v>94</v>
      </c>
      <c r="E15" s="78">
        <v>46</v>
      </c>
      <c r="F15" s="78">
        <v>80</v>
      </c>
      <c r="G15" s="78">
        <v>16</v>
      </c>
      <c r="H15" s="78">
        <v>48</v>
      </c>
      <c r="I15" s="78">
        <v>100</v>
      </c>
      <c r="J15" s="78">
        <v>80</v>
      </c>
      <c r="K15" s="78">
        <v>50</v>
      </c>
      <c r="L15" s="36">
        <f t="shared" si="0"/>
        <v>607</v>
      </c>
      <c r="M15" s="122"/>
      <c r="N15" s="123"/>
      <c r="O15" s="124"/>
      <c r="P15" s="123"/>
      <c r="Q15" s="125"/>
    </row>
    <row r="16" spans="1:19" ht="15.95" customHeight="1" x14ac:dyDescent="0.2">
      <c r="A16" s="33">
        <f t="shared" si="1"/>
        <v>12</v>
      </c>
      <c r="B16" s="77" t="s">
        <v>9</v>
      </c>
      <c r="C16" s="78">
        <v>93</v>
      </c>
      <c r="D16" s="78">
        <v>75</v>
      </c>
      <c r="E16" s="78">
        <v>69</v>
      </c>
      <c r="F16" s="78">
        <v>80</v>
      </c>
      <c r="G16" s="78">
        <v>16</v>
      </c>
      <c r="H16" s="78">
        <v>32</v>
      </c>
      <c r="I16" s="78">
        <v>125</v>
      </c>
      <c r="J16" s="78">
        <v>60</v>
      </c>
      <c r="K16" s="78">
        <v>50</v>
      </c>
      <c r="L16" s="36">
        <f t="shared" si="0"/>
        <v>600</v>
      </c>
      <c r="M16" s="126"/>
      <c r="N16" s="127"/>
      <c r="O16" s="79"/>
      <c r="P16" s="127"/>
      <c r="Q16" s="128"/>
    </row>
    <row r="17" spans="1:18" ht="15.95" customHeight="1" x14ac:dyDescent="0.2">
      <c r="A17" s="29">
        <f t="shared" si="1"/>
        <v>13</v>
      </c>
      <c r="B17" s="104" t="s">
        <v>8</v>
      </c>
      <c r="C17" s="86">
        <v>93</v>
      </c>
      <c r="D17" s="86">
        <v>56</v>
      </c>
      <c r="E17" s="86">
        <v>57</v>
      </c>
      <c r="F17" s="86">
        <v>60</v>
      </c>
      <c r="G17" s="86">
        <v>48</v>
      </c>
      <c r="H17" s="86">
        <v>48</v>
      </c>
      <c r="I17" s="86">
        <v>100</v>
      </c>
      <c r="J17" s="86">
        <v>80</v>
      </c>
      <c r="K17" s="86">
        <v>50</v>
      </c>
      <c r="L17" s="19">
        <f t="shared" si="0"/>
        <v>592</v>
      </c>
      <c r="M17" s="136"/>
      <c r="N17" s="137"/>
      <c r="O17" s="138"/>
      <c r="P17" s="137"/>
      <c r="Q17" s="139"/>
      <c r="R17" s="96"/>
    </row>
    <row r="18" spans="1:18" ht="15.95" customHeight="1" x14ac:dyDescent="0.2">
      <c r="A18" s="25">
        <f t="shared" si="1"/>
        <v>14</v>
      </c>
      <c r="B18" s="81" t="s">
        <v>117</v>
      </c>
      <c r="C18" s="82">
        <v>93</v>
      </c>
      <c r="D18" s="82">
        <v>19</v>
      </c>
      <c r="E18" s="82">
        <v>34</v>
      </c>
      <c r="F18" s="82">
        <v>100</v>
      </c>
      <c r="G18" s="82">
        <v>32</v>
      </c>
      <c r="H18" s="82">
        <v>48</v>
      </c>
      <c r="I18" s="82">
        <v>100</v>
      </c>
      <c r="J18" s="82">
        <v>100</v>
      </c>
      <c r="K18" s="82">
        <v>50</v>
      </c>
      <c r="L18" s="28">
        <f t="shared" si="0"/>
        <v>576</v>
      </c>
      <c r="M18" s="132">
        <v>4</v>
      </c>
      <c r="N18" s="133">
        <v>2000000</v>
      </c>
      <c r="O18" s="134">
        <v>3000000</v>
      </c>
      <c r="P18" s="133">
        <v>3500000</v>
      </c>
      <c r="Q18" s="135">
        <v>4000000</v>
      </c>
      <c r="R18" s="96"/>
    </row>
    <row r="19" spans="1:18" ht="15.95" customHeight="1" x14ac:dyDescent="0.2">
      <c r="A19" s="33">
        <f t="shared" si="1"/>
        <v>15</v>
      </c>
      <c r="B19" s="79" t="s">
        <v>13</v>
      </c>
      <c r="C19" s="80">
        <v>80</v>
      </c>
      <c r="D19" s="80">
        <v>38</v>
      </c>
      <c r="E19" s="80">
        <v>34</v>
      </c>
      <c r="F19" s="80">
        <v>60</v>
      </c>
      <c r="G19" s="80">
        <v>80</v>
      </c>
      <c r="H19" s="80">
        <v>48</v>
      </c>
      <c r="I19" s="80">
        <v>75</v>
      </c>
      <c r="J19" s="80">
        <v>60</v>
      </c>
      <c r="K19" s="80">
        <v>25</v>
      </c>
      <c r="L19" s="14">
        <f t="shared" si="0"/>
        <v>500</v>
      </c>
      <c r="M19" s="126" t="s">
        <v>126</v>
      </c>
      <c r="N19" s="175" t="s">
        <v>160</v>
      </c>
      <c r="O19" s="179" t="s">
        <v>160</v>
      </c>
      <c r="P19" s="175" t="s">
        <v>160</v>
      </c>
      <c r="Q19" s="180" t="s">
        <v>160</v>
      </c>
    </row>
    <row r="20" spans="1:18" ht="15.95" customHeight="1" x14ac:dyDescent="0.2">
      <c r="A20" s="33">
        <f t="shared" si="1"/>
        <v>16</v>
      </c>
      <c r="B20" s="79" t="s">
        <v>17</v>
      </c>
      <c r="C20" s="80">
        <v>67</v>
      </c>
      <c r="D20" s="80">
        <v>38</v>
      </c>
      <c r="E20" s="80">
        <v>34</v>
      </c>
      <c r="F20" s="80">
        <v>60</v>
      </c>
      <c r="G20" s="80">
        <v>64</v>
      </c>
      <c r="H20" s="80">
        <v>48</v>
      </c>
      <c r="I20" s="80">
        <v>75</v>
      </c>
      <c r="J20" s="80">
        <v>60</v>
      </c>
      <c r="K20" s="80">
        <v>37.5</v>
      </c>
      <c r="L20" s="14">
        <f t="shared" si="0"/>
        <v>483.5</v>
      </c>
      <c r="M20" s="126" t="s">
        <v>127</v>
      </c>
      <c r="N20" s="123">
        <v>3000000</v>
      </c>
      <c r="O20" s="124">
        <v>3500000</v>
      </c>
      <c r="P20" s="123">
        <v>4000000</v>
      </c>
      <c r="Q20" s="125">
        <v>5000000</v>
      </c>
      <c r="R20" s="96"/>
    </row>
    <row r="21" spans="1:18" ht="15.95" customHeight="1" x14ac:dyDescent="0.2">
      <c r="A21" s="33">
        <f t="shared" si="1"/>
        <v>17</v>
      </c>
      <c r="B21" s="79" t="s">
        <v>38</v>
      </c>
      <c r="C21" s="80">
        <v>67</v>
      </c>
      <c r="D21" s="80">
        <v>38</v>
      </c>
      <c r="E21" s="80">
        <v>46</v>
      </c>
      <c r="F21" s="80">
        <v>80</v>
      </c>
      <c r="G21" s="80">
        <v>32</v>
      </c>
      <c r="H21" s="80">
        <v>32</v>
      </c>
      <c r="I21" s="80">
        <v>75</v>
      </c>
      <c r="J21" s="80">
        <v>60</v>
      </c>
      <c r="K21" s="80">
        <v>37.5</v>
      </c>
      <c r="L21" s="14">
        <f t="shared" si="0"/>
        <v>467.5</v>
      </c>
      <c r="M21" s="122"/>
      <c r="N21" s="123"/>
      <c r="O21" s="124"/>
      <c r="P21" s="123"/>
      <c r="Q21" s="125"/>
    </row>
    <row r="22" spans="1:18" ht="15.95" customHeight="1" x14ac:dyDescent="0.2">
      <c r="A22" s="29">
        <f t="shared" si="1"/>
        <v>18</v>
      </c>
      <c r="B22" s="104" t="s">
        <v>39</v>
      </c>
      <c r="C22" s="86">
        <v>67</v>
      </c>
      <c r="D22" s="86">
        <v>38</v>
      </c>
      <c r="E22" s="86">
        <v>46</v>
      </c>
      <c r="F22" s="86">
        <v>80</v>
      </c>
      <c r="G22" s="86">
        <v>16</v>
      </c>
      <c r="H22" s="86">
        <v>32</v>
      </c>
      <c r="I22" s="86">
        <v>75</v>
      </c>
      <c r="J22" s="86">
        <v>60</v>
      </c>
      <c r="K22" s="86">
        <v>37.5</v>
      </c>
      <c r="L22" s="19">
        <f t="shared" si="0"/>
        <v>451.5</v>
      </c>
      <c r="M22" s="136"/>
      <c r="N22" s="137"/>
      <c r="O22" s="138"/>
      <c r="P22" s="137"/>
      <c r="Q22" s="139"/>
    </row>
    <row r="23" spans="1:18" ht="15.95" customHeight="1" x14ac:dyDescent="0.2">
      <c r="A23" s="25">
        <f t="shared" si="1"/>
        <v>19</v>
      </c>
      <c r="B23" s="84" t="s">
        <v>121</v>
      </c>
      <c r="C23" s="85">
        <v>67</v>
      </c>
      <c r="D23" s="85">
        <v>38</v>
      </c>
      <c r="E23" s="85">
        <v>34</v>
      </c>
      <c r="F23" s="85">
        <v>60</v>
      </c>
      <c r="G23" s="85">
        <v>48</v>
      </c>
      <c r="H23" s="85">
        <v>32</v>
      </c>
      <c r="I23" s="85">
        <v>75</v>
      </c>
      <c r="J23" s="85">
        <v>60</v>
      </c>
      <c r="K23" s="85">
        <v>25</v>
      </c>
      <c r="L23" s="15">
        <f t="shared" si="0"/>
        <v>439</v>
      </c>
      <c r="M23" s="140">
        <v>5</v>
      </c>
      <c r="N23" s="133">
        <v>1500000</v>
      </c>
      <c r="O23" s="134">
        <v>2000000</v>
      </c>
      <c r="P23" s="133">
        <v>2500000</v>
      </c>
      <c r="Q23" s="135">
        <v>3000000</v>
      </c>
    </row>
    <row r="24" spans="1:18" ht="15.95" customHeight="1" x14ac:dyDescent="0.2">
      <c r="A24" s="33">
        <f t="shared" si="1"/>
        <v>20</v>
      </c>
      <c r="B24" s="79" t="s">
        <v>119</v>
      </c>
      <c r="C24" s="80">
        <v>67</v>
      </c>
      <c r="D24" s="80">
        <v>38</v>
      </c>
      <c r="E24" s="80">
        <v>46</v>
      </c>
      <c r="F24" s="80">
        <v>60</v>
      </c>
      <c r="G24" s="80">
        <v>48</v>
      </c>
      <c r="H24" s="80">
        <v>32</v>
      </c>
      <c r="I24" s="80">
        <v>50</v>
      </c>
      <c r="J24" s="80">
        <v>60</v>
      </c>
      <c r="K24" s="80">
        <v>25</v>
      </c>
      <c r="L24" s="14">
        <f t="shared" si="0"/>
        <v>426</v>
      </c>
      <c r="M24" s="126" t="s">
        <v>126</v>
      </c>
      <c r="N24" s="175" t="s">
        <v>160</v>
      </c>
      <c r="O24" s="179" t="s">
        <v>160</v>
      </c>
      <c r="P24" s="175" t="s">
        <v>160</v>
      </c>
      <c r="Q24" s="180" t="s">
        <v>160</v>
      </c>
    </row>
    <row r="25" spans="1:18" ht="15.95" customHeight="1" x14ac:dyDescent="0.2">
      <c r="A25" s="33">
        <f t="shared" si="1"/>
        <v>21</v>
      </c>
      <c r="B25" s="79" t="s">
        <v>118</v>
      </c>
      <c r="C25" s="80">
        <v>67</v>
      </c>
      <c r="D25" s="80">
        <v>38</v>
      </c>
      <c r="E25" s="80">
        <v>46</v>
      </c>
      <c r="F25" s="80">
        <v>60</v>
      </c>
      <c r="G25" s="80">
        <v>48</v>
      </c>
      <c r="H25" s="80">
        <v>32</v>
      </c>
      <c r="I25" s="80">
        <v>50</v>
      </c>
      <c r="J25" s="80">
        <v>60</v>
      </c>
      <c r="K25" s="80">
        <v>25</v>
      </c>
      <c r="L25" s="14">
        <f t="shared" si="0"/>
        <v>426</v>
      </c>
      <c r="M25" s="126"/>
      <c r="N25" s="123">
        <v>2000000</v>
      </c>
      <c r="O25" s="124">
        <v>2500000</v>
      </c>
      <c r="P25" s="123">
        <v>3000000</v>
      </c>
      <c r="Q25" s="125">
        <v>4000000</v>
      </c>
    </row>
    <row r="26" spans="1:18" ht="15.95" customHeight="1" x14ac:dyDescent="0.2">
      <c r="A26" s="33">
        <f t="shared" si="1"/>
        <v>22</v>
      </c>
      <c r="B26" s="79" t="s">
        <v>16</v>
      </c>
      <c r="C26" s="80">
        <v>67</v>
      </c>
      <c r="D26" s="80">
        <v>38</v>
      </c>
      <c r="E26" s="80">
        <v>34</v>
      </c>
      <c r="F26" s="80">
        <v>60</v>
      </c>
      <c r="G26" s="80">
        <v>32</v>
      </c>
      <c r="H26" s="80">
        <v>32</v>
      </c>
      <c r="I26" s="80">
        <v>75</v>
      </c>
      <c r="J26" s="80">
        <v>60</v>
      </c>
      <c r="K26" s="80">
        <v>25</v>
      </c>
      <c r="L26" s="14">
        <f t="shared" si="0"/>
        <v>423</v>
      </c>
      <c r="M26" s="126"/>
      <c r="N26" s="123"/>
      <c r="O26" s="124"/>
      <c r="P26" s="123"/>
      <c r="Q26" s="125"/>
    </row>
    <row r="27" spans="1:18" ht="15.95" customHeight="1" x14ac:dyDescent="0.2">
      <c r="A27" s="33">
        <f t="shared" si="1"/>
        <v>23</v>
      </c>
      <c r="B27" s="77" t="s">
        <v>24</v>
      </c>
      <c r="C27" s="78">
        <v>67</v>
      </c>
      <c r="D27" s="78">
        <v>38</v>
      </c>
      <c r="E27" s="78">
        <v>46</v>
      </c>
      <c r="F27" s="78">
        <v>40</v>
      </c>
      <c r="G27" s="78">
        <v>80</v>
      </c>
      <c r="H27" s="78">
        <v>32</v>
      </c>
      <c r="I27" s="78">
        <v>75</v>
      </c>
      <c r="J27" s="78">
        <v>20</v>
      </c>
      <c r="K27" s="78">
        <v>25</v>
      </c>
      <c r="L27" s="36">
        <f t="shared" si="0"/>
        <v>423</v>
      </c>
      <c r="M27" s="122"/>
      <c r="N27" s="123"/>
      <c r="O27" s="124"/>
      <c r="P27" s="123"/>
      <c r="Q27" s="125"/>
    </row>
    <row r="28" spans="1:18" ht="15.95" customHeight="1" x14ac:dyDescent="0.2">
      <c r="A28" s="33">
        <f t="shared" si="1"/>
        <v>24</v>
      </c>
      <c r="B28" s="79" t="s">
        <v>15</v>
      </c>
      <c r="C28" s="80">
        <v>67</v>
      </c>
      <c r="D28" s="80">
        <v>38</v>
      </c>
      <c r="E28" s="80">
        <v>34</v>
      </c>
      <c r="F28" s="80">
        <v>60</v>
      </c>
      <c r="G28" s="80">
        <v>16</v>
      </c>
      <c r="H28" s="80">
        <v>32</v>
      </c>
      <c r="I28" s="80">
        <v>75</v>
      </c>
      <c r="J28" s="80">
        <v>60</v>
      </c>
      <c r="K28" s="80">
        <v>37.5</v>
      </c>
      <c r="L28" s="14">
        <f t="shared" si="0"/>
        <v>419.5</v>
      </c>
      <c r="M28" s="126"/>
      <c r="N28" s="123"/>
      <c r="O28" s="124"/>
      <c r="P28" s="123"/>
      <c r="Q28" s="125"/>
    </row>
    <row r="29" spans="1:18" ht="15.95" customHeight="1" x14ac:dyDescent="0.2">
      <c r="A29" s="33">
        <f t="shared" si="1"/>
        <v>25</v>
      </c>
      <c r="B29" s="77" t="s">
        <v>65</v>
      </c>
      <c r="C29" s="78">
        <v>80</v>
      </c>
      <c r="D29" s="78">
        <v>19</v>
      </c>
      <c r="E29" s="78">
        <v>80</v>
      </c>
      <c r="F29" s="78">
        <v>60</v>
      </c>
      <c r="G29" s="78">
        <v>32</v>
      </c>
      <c r="H29" s="78">
        <v>16</v>
      </c>
      <c r="I29" s="78">
        <v>100</v>
      </c>
      <c r="J29" s="78">
        <v>20</v>
      </c>
      <c r="K29" s="78">
        <v>12.5</v>
      </c>
      <c r="L29" s="36">
        <f t="shared" si="0"/>
        <v>419.5</v>
      </c>
      <c r="M29" s="126"/>
      <c r="N29" s="123"/>
      <c r="O29" s="124"/>
      <c r="P29" s="123"/>
      <c r="Q29" s="125"/>
    </row>
    <row r="30" spans="1:18" ht="15.95" customHeight="1" x14ac:dyDescent="0.2">
      <c r="A30" s="33">
        <f t="shared" si="1"/>
        <v>26</v>
      </c>
      <c r="B30" s="79" t="s">
        <v>72</v>
      </c>
      <c r="C30" s="80">
        <v>67</v>
      </c>
      <c r="D30" s="80">
        <v>38</v>
      </c>
      <c r="E30" s="80">
        <v>34</v>
      </c>
      <c r="F30" s="80">
        <v>40</v>
      </c>
      <c r="G30" s="80">
        <v>64</v>
      </c>
      <c r="H30" s="80">
        <v>32</v>
      </c>
      <c r="I30" s="80">
        <v>50</v>
      </c>
      <c r="J30" s="80">
        <v>60</v>
      </c>
      <c r="K30" s="80">
        <v>25</v>
      </c>
      <c r="L30" s="14">
        <f t="shared" si="0"/>
        <v>410</v>
      </c>
      <c r="M30" s="126"/>
      <c r="N30" s="123"/>
      <c r="O30" s="124"/>
      <c r="P30" s="123"/>
      <c r="Q30" s="125"/>
    </row>
    <row r="31" spans="1:18" ht="15.95" customHeight="1" x14ac:dyDescent="0.2">
      <c r="A31" s="33">
        <f t="shared" si="1"/>
        <v>27</v>
      </c>
      <c r="B31" s="79" t="s">
        <v>14</v>
      </c>
      <c r="C31" s="80">
        <v>67</v>
      </c>
      <c r="D31" s="80">
        <v>38</v>
      </c>
      <c r="E31" s="80">
        <v>34</v>
      </c>
      <c r="F31" s="80">
        <v>60</v>
      </c>
      <c r="G31" s="80">
        <v>16</v>
      </c>
      <c r="H31" s="80">
        <v>32</v>
      </c>
      <c r="I31" s="80">
        <v>75</v>
      </c>
      <c r="J31" s="80">
        <v>60</v>
      </c>
      <c r="K31" s="80">
        <v>25</v>
      </c>
      <c r="L31" s="14">
        <f t="shared" si="0"/>
        <v>407</v>
      </c>
      <c r="M31" s="126"/>
      <c r="N31" s="123"/>
      <c r="O31" s="124"/>
      <c r="P31" s="123"/>
      <c r="Q31" s="125"/>
    </row>
    <row r="32" spans="1:18" ht="15.95" customHeight="1" x14ac:dyDescent="0.2">
      <c r="A32" s="29">
        <f t="shared" si="1"/>
        <v>28</v>
      </c>
      <c r="B32" s="104" t="s">
        <v>73</v>
      </c>
      <c r="C32" s="86">
        <v>40</v>
      </c>
      <c r="D32" s="86">
        <v>38</v>
      </c>
      <c r="E32" s="86">
        <v>34</v>
      </c>
      <c r="F32" s="86">
        <v>60</v>
      </c>
      <c r="G32" s="86">
        <v>32</v>
      </c>
      <c r="H32" s="86">
        <v>32</v>
      </c>
      <c r="I32" s="86">
        <v>50</v>
      </c>
      <c r="J32" s="86">
        <v>60</v>
      </c>
      <c r="K32" s="86">
        <v>25</v>
      </c>
      <c r="L32" s="19">
        <f t="shared" si="0"/>
        <v>371</v>
      </c>
      <c r="M32" s="141"/>
      <c r="N32" s="137"/>
      <c r="O32" s="138"/>
      <c r="P32" s="137"/>
      <c r="Q32" s="139"/>
    </row>
    <row r="33" spans="1:17" ht="15.95" customHeight="1" x14ac:dyDescent="0.2">
      <c r="A33" s="57"/>
      <c r="B33" s="23"/>
      <c r="C33" s="24"/>
      <c r="D33" s="24"/>
      <c r="E33" s="24"/>
      <c r="F33" s="24"/>
      <c r="G33" s="24"/>
      <c r="H33" s="24"/>
      <c r="I33" s="24"/>
      <c r="J33" s="24"/>
      <c r="K33" s="24"/>
      <c r="L33" s="58"/>
      <c r="M33" s="116"/>
      <c r="N33" s="66"/>
      <c r="O33" s="66"/>
      <c r="P33" s="66"/>
      <c r="Q33" s="66"/>
    </row>
    <row r="34" spans="1:17" ht="15.95" customHeight="1" x14ac:dyDescent="0.2">
      <c r="A34" s="87">
        <f>A32+1</f>
        <v>29</v>
      </c>
      <c r="B34" s="88" t="s">
        <v>120</v>
      </c>
      <c r="C34" s="89">
        <v>67</v>
      </c>
      <c r="D34" s="89">
        <v>19</v>
      </c>
      <c r="E34" s="89">
        <v>11</v>
      </c>
      <c r="F34" s="89">
        <v>60</v>
      </c>
      <c r="G34" s="89">
        <v>32</v>
      </c>
      <c r="H34" s="89">
        <v>16</v>
      </c>
      <c r="I34" s="89">
        <v>75</v>
      </c>
      <c r="J34" s="89">
        <v>40</v>
      </c>
      <c r="K34" s="89">
        <v>12.5</v>
      </c>
      <c r="L34" s="90">
        <f t="shared" ref="L34:L46" si="2">SUM(C34:K34)</f>
        <v>332.5</v>
      </c>
      <c r="M34" s="148">
        <v>6</v>
      </c>
      <c r="N34" s="149">
        <v>1000000</v>
      </c>
      <c r="O34" s="150">
        <v>1500000</v>
      </c>
      <c r="P34" s="149">
        <v>2000000</v>
      </c>
      <c r="Q34" s="151">
        <v>2500000</v>
      </c>
    </row>
    <row r="35" spans="1:17" ht="15.95" customHeight="1" x14ac:dyDescent="0.2">
      <c r="A35" s="33">
        <f t="shared" si="1"/>
        <v>30</v>
      </c>
      <c r="B35" s="77" t="s">
        <v>122</v>
      </c>
      <c r="C35" s="78">
        <v>67</v>
      </c>
      <c r="D35" s="78">
        <v>19</v>
      </c>
      <c r="E35" s="78">
        <v>11</v>
      </c>
      <c r="F35" s="78">
        <v>60</v>
      </c>
      <c r="G35" s="78">
        <v>32</v>
      </c>
      <c r="H35" s="78">
        <v>16</v>
      </c>
      <c r="I35" s="78">
        <v>75</v>
      </c>
      <c r="J35" s="78">
        <v>40</v>
      </c>
      <c r="K35" s="78">
        <v>12.5</v>
      </c>
      <c r="L35" s="36">
        <f t="shared" si="2"/>
        <v>332.5</v>
      </c>
      <c r="M35" s="126" t="s">
        <v>129</v>
      </c>
      <c r="N35" s="175" t="s">
        <v>160</v>
      </c>
      <c r="O35" s="179" t="s">
        <v>160</v>
      </c>
      <c r="P35" s="175" t="s">
        <v>160</v>
      </c>
      <c r="Q35" s="180" t="s">
        <v>160</v>
      </c>
    </row>
    <row r="36" spans="1:17" ht="15.95" customHeight="1" x14ac:dyDescent="0.2">
      <c r="A36" s="33">
        <f t="shared" si="1"/>
        <v>31</v>
      </c>
      <c r="B36" s="77" t="s">
        <v>23</v>
      </c>
      <c r="C36" s="78">
        <v>40</v>
      </c>
      <c r="D36" s="78">
        <v>19</v>
      </c>
      <c r="E36" s="78">
        <v>11</v>
      </c>
      <c r="F36" s="78">
        <v>40</v>
      </c>
      <c r="G36" s="78">
        <v>80</v>
      </c>
      <c r="H36" s="78">
        <v>32</v>
      </c>
      <c r="I36" s="78">
        <v>50</v>
      </c>
      <c r="J36" s="78">
        <v>40</v>
      </c>
      <c r="K36" s="78">
        <v>12.5</v>
      </c>
      <c r="L36" s="36">
        <f t="shared" si="2"/>
        <v>324.5</v>
      </c>
      <c r="M36" s="126"/>
      <c r="N36" s="123">
        <v>1500000</v>
      </c>
      <c r="O36" s="124">
        <v>2000000</v>
      </c>
      <c r="P36" s="123">
        <v>2500000</v>
      </c>
      <c r="Q36" s="125">
        <v>3000000</v>
      </c>
    </row>
    <row r="37" spans="1:17" ht="15.95" customHeight="1" x14ac:dyDescent="0.2">
      <c r="A37" s="33">
        <f t="shared" si="1"/>
        <v>32</v>
      </c>
      <c r="B37" s="77" t="s">
        <v>21</v>
      </c>
      <c r="C37" s="78">
        <v>40</v>
      </c>
      <c r="D37" s="78">
        <v>19</v>
      </c>
      <c r="E37" s="78">
        <v>23</v>
      </c>
      <c r="F37" s="78">
        <v>40</v>
      </c>
      <c r="G37" s="78">
        <v>48</v>
      </c>
      <c r="H37" s="78">
        <v>16</v>
      </c>
      <c r="I37" s="78">
        <v>75</v>
      </c>
      <c r="J37" s="78">
        <v>40</v>
      </c>
      <c r="K37" s="78">
        <v>12.5</v>
      </c>
      <c r="L37" s="36">
        <f t="shared" si="2"/>
        <v>313.5</v>
      </c>
      <c r="M37" s="122"/>
      <c r="N37" s="123"/>
      <c r="O37" s="124"/>
      <c r="P37" s="123"/>
      <c r="Q37" s="125"/>
    </row>
    <row r="38" spans="1:17" ht="15.95" customHeight="1" x14ac:dyDescent="0.2">
      <c r="A38" s="33">
        <f t="shared" si="1"/>
        <v>33</v>
      </c>
      <c r="B38" s="79" t="s">
        <v>20</v>
      </c>
      <c r="C38" s="80">
        <v>40</v>
      </c>
      <c r="D38" s="80">
        <v>19</v>
      </c>
      <c r="E38" s="80">
        <v>11</v>
      </c>
      <c r="F38" s="80">
        <v>40</v>
      </c>
      <c r="G38" s="80">
        <v>32</v>
      </c>
      <c r="H38" s="80">
        <v>16</v>
      </c>
      <c r="I38" s="80">
        <v>25</v>
      </c>
      <c r="J38" s="80">
        <v>40</v>
      </c>
      <c r="K38" s="80">
        <v>12.5</v>
      </c>
      <c r="L38" s="14">
        <f t="shared" si="2"/>
        <v>235.5</v>
      </c>
      <c r="M38" s="126"/>
      <c r="N38" s="123"/>
      <c r="O38" s="124"/>
      <c r="P38" s="123"/>
      <c r="Q38" s="125"/>
    </row>
    <row r="39" spans="1:17" ht="15.95" customHeight="1" x14ac:dyDescent="0.2">
      <c r="A39" s="33">
        <f t="shared" si="1"/>
        <v>34</v>
      </c>
      <c r="B39" s="79" t="s">
        <v>123</v>
      </c>
      <c r="C39" s="80">
        <v>67</v>
      </c>
      <c r="D39" s="80">
        <v>19</v>
      </c>
      <c r="E39" s="80">
        <v>11</v>
      </c>
      <c r="F39" s="80">
        <v>20</v>
      </c>
      <c r="G39" s="80">
        <v>16</v>
      </c>
      <c r="H39" s="80">
        <v>16</v>
      </c>
      <c r="I39" s="80">
        <v>25</v>
      </c>
      <c r="J39" s="80">
        <v>40</v>
      </c>
      <c r="K39" s="80">
        <v>12.5</v>
      </c>
      <c r="L39" s="14">
        <f t="shared" si="2"/>
        <v>226.5</v>
      </c>
      <c r="M39" s="126"/>
      <c r="N39" s="123"/>
      <c r="O39" s="124"/>
      <c r="P39" s="123"/>
      <c r="Q39" s="125"/>
    </row>
    <row r="40" spans="1:17" ht="15.95" customHeight="1" x14ac:dyDescent="0.2">
      <c r="A40" s="33">
        <f t="shared" si="1"/>
        <v>35</v>
      </c>
      <c r="B40" s="79" t="s">
        <v>74</v>
      </c>
      <c r="C40" s="80">
        <v>67</v>
      </c>
      <c r="D40" s="80">
        <v>19</v>
      </c>
      <c r="E40" s="80">
        <v>11</v>
      </c>
      <c r="F40" s="80">
        <v>20</v>
      </c>
      <c r="G40" s="80">
        <v>16</v>
      </c>
      <c r="H40" s="80">
        <v>16</v>
      </c>
      <c r="I40" s="80">
        <v>25</v>
      </c>
      <c r="J40" s="80">
        <v>40</v>
      </c>
      <c r="K40" s="80">
        <v>12.5</v>
      </c>
      <c r="L40" s="14">
        <f t="shared" si="2"/>
        <v>226.5</v>
      </c>
      <c r="M40" s="126"/>
      <c r="N40" s="123"/>
      <c r="O40" s="124"/>
      <c r="P40" s="123"/>
      <c r="Q40" s="125"/>
    </row>
    <row r="41" spans="1:17" ht="15.95" customHeight="1" x14ac:dyDescent="0.2">
      <c r="A41" s="33">
        <f t="shared" si="1"/>
        <v>36</v>
      </c>
      <c r="B41" s="79" t="s">
        <v>22</v>
      </c>
      <c r="C41" s="80">
        <v>40</v>
      </c>
      <c r="D41" s="80">
        <v>19</v>
      </c>
      <c r="E41" s="80">
        <v>11</v>
      </c>
      <c r="F41" s="80">
        <v>40</v>
      </c>
      <c r="G41" s="80">
        <v>16</v>
      </c>
      <c r="H41" s="80">
        <v>16</v>
      </c>
      <c r="I41" s="80">
        <v>25</v>
      </c>
      <c r="J41" s="80">
        <v>40</v>
      </c>
      <c r="K41" s="80">
        <v>12.5</v>
      </c>
      <c r="L41" s="14">
        <f t="shared" si="2"/>
        <v>219.5</v>
      </c>
      <c r="M41" s="122"/>
      <c r="N41" s="123"/>
      <c r="O41" s="124"/>
      <c r="P41" s="123"/>
      <c r="Q41" s="125"/>
    </row>
    <row r="42" spans="1:17" ht="15.95" customHeight="1" x14ac:dyDescent="0.2">
      <c r="A42" s="33">
        <f t="shared" si="1"/>
        <v>37</v>
      </c>
      <c r="B42" s="79" t="s">
        <v>19</v>
      </c>
      <c r="C42" s="80">
        <v>40</v>
      </c>
      <c r="D42" s="80">
        <v>19</v>
      </c>
      <c r="E42" s="80">
        <v>11</v>
      </c>
      <c r="F42" s="80">
        <v>20</v>
      </c>
      <c r="G42" s="80">
        <v>16</v>
      </c>
      <c r="H42" s="80">
        <v>16</v>
      </c>
      <c r="I42" s="80">
        <v>25</v>
      </c>
      <c r="J42" s="80">
        <v>60</v>
      </c>
      <c r="K42" s="80">
        <v>12.5</v>
      </c>
      <c r="L42" s="14">
        <f t="shared" si="2"/>
        <v>219.5</v>
      </c>
      <c r="M42" s="126"/>
      <c r="N42" s="123"/>
      <c r="O42" s="124"/>
      <c r="P42" s="123"/>
      <c r="Q42" s="125"/>
    </row>
    <row r="43" spans="1:17" ht="15.95" customHeight="1" x14ac:dyDescent="0.2">
      <c r="A43" s="33">
        <f t="shared" si="1"/>
        <v>38</v>
      </c>
      <c r="B43" s="79" t="s">
        <v>124</v>
      </c>
      <c r="C43" s="80">
        <v>40</v>
      </c>
      <c r="D43" s="80">
        <v>19</v>
      </c>
      <c r="E43" s="80">
        <v>11</v>
      </c>
      <c r="F43" s="80">
        <v>20</v>
      </c>
      <c r="G43" s="80">
        <v>32</v>
      </c>
      <c r="H43" s="80">
        <v>16</v>
      </c>
      <c r="I43" s="80">
        <v>25</v>
      </c>
      <c r="J43" s="80">
        <v>40</v>
      </c>
      <c r="K43" s="80">
        <v>12.5</v>
      </c>
      <c r="L43" s="14">
        <f t="shared" si="2"/>
        <v>215.5</v>
      </c>
      <c r="M43" s="126"/>
      <c r="N43" s="123"/>
      <c r="O43" s="124"/>
      <c r="P43" s="123"/>
      <c r="Q43" s="125"/>
    </row>
    <row r="44" spans="1:17" ht="15.95" customHeight="1" x14ac:dyDescent="0.2">
      <c r="A44" s="33">
        <f t="shared" si="1"/>
        <v>39</v>
      </c>
      <c r="B44" s="79" t="s">
        <v>125</v>
      </c>
      <c r="C44" s="80">
        <v>40</v>
      </c>
      <c r="D44" s="80">
        <v>19</v>
      </c>
      <c r="E44" s="80">
        <v>11</v>
      </c>
      <c r="F44" s="80">
        <v>20</v>
      </c>
      <c r="G44" s="80">
        <v>32</v>
      </c>
      <c r="H44" s="80">
        <v>16</v>
      </c>
      <c r="I44" s="80">
        <v>25</v>
      </c>
      <c r="J44" s="80">
        <v>40</v>
      </c>
      <c r="K44" s="80">
        <v>12.5</v>
      </c>
      <c r="L44" s="14">
        <f t="shared" si="2"/>
        <v>215.5</v>
      </c>
      <c r="M44" s="126"/>
      <c r="N44" s="123"/>
      <c r="O44" s="124"/>
      <c r="P44" s="123"/>
      <c r="Q44" s="125"/>
    </row>
    <row r="45" spans="1:17" ht="15.95" customHeight="1" x14ac:dyDescent="0.2">
      <c r="A45" s="33">
        <f t="shared" si="1"/>
        <v>40</v>
      </c>
      <c r="B45" s="79" t="s">
        <v>40</v>
      </c>
      <c r="C45" s="80">
        <v>40</v>
      </c>
      <c r="D45" s="80">
        <v>19</v>
      </c>
      <c r="E45" s="80">
        <v>11</v>
      </c>
      <c r="F45" s="80">
        <v>20</v>
      </c>
      <c r="G45" s="80">
        <v>16</v>
      </c>
      <c r="H45" s="80">
        <v>16</v>
      </c>
      <c r="I45" s="80">
        <v>25</v>
      </c>
      <c r="J45" s="80">
        <v>40</v>
      </c>
      <c r="K45" s="80">
        <v>12.5</v>
      </c>
      <c r="L45" s="14">
        <f t="shared" si="2"/>
        <v>199.5</v>
      </c>
      <c r="M45" s="126"/>
      <c r="N45" s="123"/>
      <c r="O45" s="124"/>
      <c r="P45" s="123"/>
      <c r="Q45" s="125"/>
    </row>
    <row r="46" spans="1:17" ht="15.75" customHeight="1" x14ac:dyDescent="0.2">
      <c r="A46" s="29">
        <f t="shared" si="1"/>
        <v>41</v>
      </c>
      <c r="B46" s="104" t="s">
        <v>18</v>
      </c>
      <c r="C46" s="86">
        <v>40</v>
      </c>
      <c r="D46" s="86">
        <v>19</v>
      </c>
      <c r="E46" s="86">
        <v>23</v>
      </c>
      <c r="F46" s="86">
        <v>20</v>
      </c>
      <c r="G46" s="86">
        <v>16</v>
      </c>
      <c r="H46" s="86">
        <v>16</v>
      </c>
      <c r="I46" s="86">
        <v>25</v>
      </c>
      <c r="J46" s="86">
        <v>20</v>
      </c>
      <c r="K46" s="86">
        <v>12.5</v>
      </c>
      <c r="L46" s="19">
        <f t="shared" si="2"/>
        <v>191.5</v>
      </c>
      <c r="M46" s="136"/>
      <c r="N46" s="142"/>
      <c r="O46" s="104"/>
      <c r="P46" s="142"/>
      <c r="Q46" s="143"/>
    </row>
    <row r="47" spans="1:17" ht="15.95" customHeight="1" x14ac:dyDescent="0.2">
      <c r="A47" s="25">
        <f t="shared" si="1"/>
        <v>42</v>
      </c>
      <c r="B47" s="81" t="s">
        <v>56</v>
      </c>
      <c r="C47" s="85">
        <v>40</v>
      </c>
      <c r="D47" s="85">
        <v>19</v>
      </c>
      <c r="E47" s="85">
        <v>11</v>
      </c>
      <c r="F47" s="85">
        <v>20</v>
      </c>
      <c r="G47" s="85">
        <v>16</v>
      </c>
      <c r="H47" s="85">
        <v>16</v>
      </c>
      <c r="I47" s="85">
        <v>25</v>
      </c>
      <c r="J47" s="85">
        <v>20</v>
      </c>
      <c r="K47" s="85">
        <v>12.5</v>
      </c>
      <c r="L47" s="15"/>
      <c r="M47" s="140">
        <v>7</v>
      </c>
      <c r="N47" s="133">
        <v>700000</v>
      </c>
      <c r="O47" s="134">
        <v>900000</v>
      </c>
      <c r="P47" s="133">
        <v>1100000</v>
      </c>
      <c r="Q47" s="135">
        <v>1250000</v>
      </c>
    </row>
    <row r="48" spans="1:17" ht="15.95" customHeight="1" x14ac:dyDescent="0.2">
      <c r="A48" s="33">
        <f t="shared" si="1"/>
        <v>43</v>
      </c>
      <c r="B48" s="77" t="s">
        <v>130</v>
      </c>
      <c r="C48" s="80"/>
      <c r="D48" s="80"/>
      <c r="E48" s="80"/>
      <c r="F48" s="80"/>
      <c r="G48" s="80"/>
      <c r="H48" s="80"/>
      <c r="I48" s="80"/>
      <c r="J48" s="80"/>
      <c r="K48" s="80"/>
      <c r="L48" s="14"/>
      <c r="M48" s="126" t="s">
        <v>129</v>
      </c>
      <c r="N48" s="175" t="s">
        <v>160</v>
      </c>
      <c r="O48" s="179" t="s">
        <v>160</v>
      </c>
      <c r="P48" s="175" t="s">
        <v>160</v>
      </c>
      <c r="Q48" s="180" t="s">
        <v>160</v>
      </c>
    </row>
    <row r="49" spans="1:17" ht="15.95" customHeight="1" x14ac:dyDescent="0.2">
      <c r="A49" s="33">
        <f t="shared" si="1"/>
        <v>44</v>
      </c>
      <c r="B49" s="77" t="s">
        <v>131</v>
      </c>
      <c r="C49" s="80"/>
      <c r="D49" s="80"/>
      <c r="E49" s="80"/>
      <c r="F49" s="80"/>
      <c r="G49" s="80"/>
      <c r="H49" s="80"/>
      <c r="I49" s="80"/>
      <c r="J49" s="80"/>
      <c r="K49" s="80"/>
      <c r="L49" s="14"/>
      <c r="M49" s="126" t="s">
        <v>143</v>
      </c>
      <c r="N49" s="176">
        <v>900000</v>
      </c>
      <c r="O49" s="177">
        <v>1100000</v>
      </c>
      <c r="P49" s="176">
        <v>1250000</v>
      </c>
      <c r="Q49" s="178">
        <v>1700000</v>
      </c>
    </row>
    <row r="50" spans="1:17" ht="15.95" customHeight="1" x14ac:dyDescent="0.2">
      <c r="A50" s="33">
        <f t="shared" si="1"/>
        <v>45</v>
      </c>
      <c r="B50" s="77" t="s">
        <v>132</v>
      </c>
      <c r="C50" s="80"/>
      <c r="D50" s="80"/>
      <c r="E50" s="80"/>
      <c r="F50" s="80"/>
      <c r="G50" s="80"/>
      <c r="H50" s="80"/>
      <c r="I50" s="80"/>
      <c r="J50" s="80"/>
      <c r="K50" s="80"/>
      <c r="L50" s="14"/>
      <c r="M50" s="126"/>
      <c r="N50" s="127"/>
      <c r="O50" s="79"/>
      <c r="P50" s="127"/>
      <c r="Q50" s="128"/>
    </row>
    <row r="51" spans="1:17" ht="15.95" customHeight="1" x14ac:dyDescent="0.2">
      <c r="A51" s="33">
        <f t="shared" si="1"/>
        <v>46</v>
      </c>
      <c r="B51" s="77" t="s">
        <v>133</v>
      </c>
      <c r="C51" s="80"/>
      <c r="D51" s="80"/>
      <c r="E51" s="80"/>
      <c r="F51" s="80"/>
      <c r="G51" s="80"/>
      <c r="H51" s="80"/>
      <c r="I51" s="80"/>
      <c r="J51" s="80"/>
      <c r="K51" s="80"/>
      <c r="L51" s="14"/>
      <c r="M51" s="126"/>
      <c r="N51" s="127"/>
      <c r="O51" s="79"/>
      <c r="P51" s="127"/>
      <c r="Q51" s="128"/>
    </row>
    <row r="52" spans="1:17" ht="15.95" customHeight="1" x14ac:dyDescent="0.2">
      <c r="A52" s="33">
        <f t="shared" si="1"/>
        <v>47</v>
      </c>
      <c r="B52" s="79" t="s">
        <v>134</v>
      </c>
      <c r="C52" s="129"/>
      <c r="D52" s="129"/>
      <c r="E52" s="129"/>
      <c r="F52" s="129"/>
      <c r="G52" s="129"/>
      <c r="H52" s="129"/>
      <c r="I52" s="129"/>
      <c r="J52" s="129"/>
      <c r="K52" s="129"/>
      <c r="L52" s="130"/>
      <c r="M52" s="126"/>
      <c r="N52" s="127"/>
      <c r="O52" s="79"/>
      <c r="P52" s="127"/>
      <c r="Q52" s="128"/>
    </row>
    <row r="53" spans="1:17" ht="15.95" customHeight="1" x14ac:dyDescent="0.2">
      <c r="A53" s="33">
        <f t="shared" si="1"/>
        <v>48</v>
      </c>
      <c r="B53" s="79" t="s">
        <v>135</v>
      </c>
      <c r="C53" s="129"/>
      <c r="D53" s="129"/>
      <c r="E53" s="129"/>
      <c r="F53" s="129"/>
      <c r="G53" s="129"/>
      <c r="H53" s="129"/>
      <c r="I53" s="129"/>
      <c r="J53" s="129"/>
      <c r="K53" s="129"/>
      <c r="L53" s="130"/>
      <c r="M53" s="126"/>
      <c r="N53" s="127"/>
      <c r="O53" s="79"/>
      <c r="P53" s="127"/>
      <c r="Q53" s="128"/>
    </row>
    <row r="54" spans="1:17" ht="15.95" customHeight="1" x14ac:dyDescent="0.2">
      <c r="A54" s="33">
        <f t="shared" si="1"/>
        <v>49</v>
      </c>
      <c r="B54" s="79" t="s">
        <v>136</v>
      </c>
      <c r="C54" s="79"/>
      <c r="D54" s="79"/>
      <c r="E54" s="79"/>
      <c r="F54" s="79"/>
      <c r="G54" s="79"/>
      <c r="H54" s="79"/>
      <c r="I54" s="79"/>
      <c r="J54" s="79"/>
      <c r="K54" s="79"/>
      <c r="L54" s="131"/>
      <c r="M54" s="126"/>
      <c r="N54" s="127"/>
      <c r="O54" s="79"/>
      <c r="P54" s="127"/>
      <c r="Q54" s="128"/>
    </row>
    <row r="55" spans="1:17" ht="15.95" customHeight="1" x14ac:dyDescent="0.2">
      <c r="A55" s="33">
        <f t="shared" si="1"/>
        <v>50</v>
      </c>
      <c r="B55" s="79" t="s">
        <v>137</v>
      </c>
      <c r="C55" s="79"/>
      <c r="D55" s="79"/>
      <c r="E55" s="79"/>
      <c r="F55" s="79"/>
      <c r="G55" s="79"/>
      <c r="H55" s="79"/>
      <c r="I55" s="79"/>
      <c r="J55" s="79"/>
      <c r="K55" s="79"/>
      <c r="L55" s="131"/>
      <c r="M55" s="126"/>
      <c r="N55" s="127"/>
      <c r="O55" s="79"/>
      <c r="P55" s="127"/>
      <c r="Q55" s="128"/>
    </row>
    <row r="56" spans="1:17" ht="15.95" customHeight="1" x14ac:dyDescent="0.2">
      <c r="A56" s="33">
        <f t="shared" si="1"/>
        <v>51</v>
      </c>
      <c r="B56" s="79" t="s">
        <v>138</v>
      </c>
      <c r="C56" s="79"/>
      <c r="D56" s="79"/>
      <c r="E56" s="79"/>
      <c r="F56" s="79"/>
      <c r="G56" s="79"/>
      <c r="H56" s="79"/>
      <c r="I56" s="79"/>
      <c r="J56" s="79"/>
      <c r="K56" s="79"/>
      <c r="L56" s="131"/>
      <c r="M56" s="126"/>
      <c r="N56" s="127"/>
      <c r="O56" s="79"/>
      <c r="P56" s="127"/>
      <c r="Q56" s="128"/>
    </row>
    <row r="57" spans="1:17" ht="15.95" customHeight="1" x14ac:dyDescent="0.2">
      <c r="A57" s="33">
        <f t="shared" si="1"/>
        <v>52</v>
      </c>
      <c r="B57" s="79" t="s">
        <v>139</v>
      </c>
      <c r="C57" s="79"/>
      <c r="D57" s="79"/>
      <c r="E57" s="79"/>
      <c r="F57" s="79"/>
      <c r="G57" s="79"/>
      <c r="H57" s="79"/>
      <c r="I57" s="79"/>
      <c r="J57" s="79"/>
      <c r="K57" s="79"/>
      <c r="L57" s="131"/>
      <c r="M57" s="126"/>
      <c r="N57" s="127"/>
      <c r="O57" s="79"/>
      <c r="P57" s="127"/>
      <c r="Q57" s="128"/>
    </row>
    <row r="58" spans="1:17" ht="15.95" customHeight="1" x14ac:dyDescent="0.2">
      <c r="A58" s="33">
        <f t="shared" si="1"/>
        <v>53</v>
      </c>
      <c r="B58" s="79" t="s">
        <v>140</v>
      </c>
      <c r="C58" s="79"/>
      <c r="D58" s="79"/>
      <c r="E58" s="79"/>
      <c r="F58" s="79"/>
      <c r="G58" s="79"/>
      <c r="H58" s="79"/>
      <c r="I58" s="79"/>
      <c r="J58" s="79"/>
      <c r="K58" s="79"/>
      <c r="L58" s="131"/>
      <c r="M58" s="126"/>
      <c r="N58" s="127"/>
      <c r="O58" s="79"/>
      <c r="P58" s="127"/>
      <c r="Q58" s="128"/>
    </row>
    <row r="59" spans="1:17" ht="15.95" customHeight="1" x14ac:dyDescent="0.2">
      <c r="A59" s="33">
        <f t="shared" si="1"/>
        <v>54</v>
      </c>
      <c r="B59" s="79" t="s">
        <v>141</v>
      </c>
      <c r="C59" s="79"/>
      <c r="D59" s="79"/>
      <c r="E59" s="79"/>
      <c r="F59" s="79"/>
      <c r="G59" s="79"/>
      <c r="H59" s="79"/>
      <c r="I59" s="79"/>
      <c r="J59" s="79"/>
      <c r="K59" s="79"/>
      <c r="L59" s="131"/>
      <c r="M59" s="126"/>
      <c r="N59" s="127"/>
      <c r="O59" s="79"/>
      <c r="P59" s="127"/>
      <c r="Q59" s="128"/>
    </row>
    <row r="60" spans="1:17" ht="15.95" customHeight="1" x14ac:dyDescent="0.2">
      <c r="A60" s="29">
        <f t="shared" si="1"/>
        <v>55</v>
      </c>
      <c r="B60" s="104" t="s">
        <v>142</v>
      </c>
      <c r="C60" s="104"/>
      <c r="D60" s="104"/>
      <c r="E60" s="104"/>
      <c r="F60" s="104"/>
      <c r="G60" s="104"/>
      <c r="H60" s="104"/>
      <c r="I60" s="104"/>
      <c r="J60" s="104"/>
      <c r="K60" s="104"/>
      <c r="L60" s="144"/>
      <c r="M60" s="136"/>
      <c r="N60" s="142"/>
      <c r="O60" s="104"/>
      <c r="P60" s="142"/>
      <c r="Q60" s="143"/>
    </row>
    <row r="61" spans="1:17" ht="15.95" customHeight="1" x14ac:dyDescent="0.2">
      <c r="A61" s="7"/>
    </row>
    <row r="62" spans="1:17" ht="15.95" customHeight="1" x14ac:dyDescent="0.2">
      <c r="A62" s="68" t="s">
        <v>85</v>
      </c>
      <c r="B62" s="68"/>
      <c r="C62" s="2"/>
      <c r="D62" s="2"/>
      <c r="E62" s="2"/>
      <c r="F62" s="2"/>
      <c r="G62" s="2"/>
      <c r="H62" s="2"/>
      <c r="I62" s="2"/>
      <c r="J62" s="2"/>
      <c r="K62" s="2"/>
      <c r="L62" s="5"/>
    </row>
    <row r="63" spans="1:17" ht="15.95" customHeight="1" x14ac:dyDescent="0.2">
      <c r="A63" s="64" t="s">
        <v>76</v>
      </c>
      <c r="B63" s="62" t="s">
        <v>81</v>
      </c>
      <c r="C63" s="2"/>
      <c r="D63" s="2"/>
      <c r="E63" s="2"/>
      <c r="F63" s="2"/>
      <c r="G63" s="2"/>
      <c r="H63" s="2"/>
      <c r="I63" s="2"/>
      <c r="J63" s="2"/>
      <c r="K63" s="2"/>
      <c r="L63" s="5"/>
    </row>
    <row r="64" spans="1:17" ht="15.95" customHeight="1" x14ac:dyDescent="0.2">
      <c r="A64" s="64"/>
      <c r="C64" s="1"/>
      <c r="D64" s="1"/>
      <c r="E64" s="1"/>
      <c r="F64" s="1"/>
      <c r="G64" s="1"/>
      <c r="H64" s="1"/>
      <c r="I64" s="1"/>
      <c r="J64" s="1"/>
      <c r="K64" s="1"/>
      <c r="L64" s="6"/>
    </row>
    <row r="65" spans="1:12" ht="15.95" customHeight="1" x14ac:dyDescent="0.2">
      <c r="A65" s="64" t="s">
        <v>77</v>
      </c>
      <c r="B65" s="62" t="s">
        <v>82</v>
      </c>
      <c r="C65" s="1"/>
      <c r="D65" s="1"/>
      <c r="E65" s="1"/>
      <c r="F65" s="1"/>
      <c r="G65" s="1"/>
      <c r="H65" s="1"/>
      <c r="I65" s="1"/>
      <c r="J65" s="1"/>
      <c r="K65" s="1"/>
      <c r="L65" s="6"/>
    </row>
    <row r="66" spans="1:12" ht="15.95" customHeight="1" x14ac:dyDescent="0.2">
      <c r="A66" s="64"/>
      <c r="B66" s="62" t="s">
        <v>115</v>
      </c>
    </row>
    <row r="67" spans="1:12" ht="15.95" customHeight="1" x14ac:dyDescent="0.2">
      <c r="A67" s="64"/>
    </row>
    <row r="68" spans="1:12" ht="15.95" customHeight="1" x14ac:dyDescent="0.2">
      <c r="A68" s="64" t="s">
        <v>78</v>
      </c>
      <c r="B68" s="62" t="s">
        <v>83</v>
      </c>
    </row>
    <row r="69" spans="1:12" ht="15.95" customHeight="1" x14ac:dyDescent="0.2">
      <c r="A69" s="64"/>
      <c r="B69" s="62" t="s">
        <v>116</v>
      </c>
    </row>
    <row r="70" spans="1:12" ht="15.95" customHeight="1" x14ac:dyDescent="0.2">
      <c r="A70" s="64"/>
      <c r="B70" s="62" t="s">
        <v>86</v>
      </c>
    </row>
    <row r="71" spans="1:12" ht="15.95" customHeight="1" x14ac:dyDescent="0.2">
      <c r="A71" s="64"/>
    </row>
    <row r="72" spans="1:12" ht="15.95" customHeight="1" x14ac:dyDescent="0.2">
      <c r="A72" s="64" t="s">
        <v>79</v>
      </c>
      <c r="B72" s="62" t="s">
        <v>84</v>
      </c>
    </row>
    <row r="73" spans="1:12" ht="15.95" customHeight="1" x14ac:dyDescent="0.2">
      <c r="A73" s="64"/>
      <c r="B73" s="62" t="s">
        <v>116</v>
      </c>
    </row>
    <row r="74" spans="1:12" ht="15.95" customHeight="1" x14ac:dyDescent="0.2">
      <c r="A74"/>
      <c r="B74" s="62" t="s">
        <v>87</v>
      </c>
    </row>
    <row r="75" spans="1:12" ht="15.95" customHeight="1" x14ac:dyDescent="0.2">
      <c r="A75" s="7"/>
    </row>
    <row r="76" spans="1:12" ht="15.95" customHeight="1" x14ac:dyDescent="0.2">
      <c r="A76" s="7"/>
    </row>
    <row r="77" spans="1:12" ht="15.95" customHeight="1" x14ac:dyDescent="0.2">
      <c r="A77" s="7"/>
    </row>
    <row r="78" spans="1:12" ht="15.95" customHeight="1" x14ac:dyDescent="0.2">
      <c r="A78" s="7"/>
    </row>
    <row r="79" spans="1:12" ht="15.95" customHeight="1" x14ac:dyDescent="0.2">
      <c r="A79" s="7"/>
    </row>
    <row r="80" spans="1:12" ht="15.95" customHeight="1" x14ac:dyDescent="0.2">
      <c r="A80" s="7"/>
    </row>
    <row r="81" spans="1:1" ht="15.95" customHeight="1" x14ac:dyDescent="0.2">
      <c r="A81" s="7"/>
    </row>
  </sheetData>
  <mergeCells count="8">
    <mergeCell ref="N3:Q3"/>
    <mergeCell ref="A1:S1"/>
    <mergeCell ref="A3:A4"/>
    <mergeCell ref="L3:L4"/>
    <mergeCell ref="B3:B4"/>
    <mergeCell ref="C3:E3"/>
    <mergeCell ref="F3:H3"/>
    <mergeCell ref="I3:K3"/>
  </mergeCells>
  <phoneticPr fontId="2" type="noConversion"/>
  <pageMargins left="0.75" right="0.75" top="0.75" bottom="0.75" header="0.5" footer="0.5"/>
  <pageSetup orientation="landscape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0"/>
  <sheetViews>
    <sheetView zoomScaleNormal="100" workbookViewId="0">
      <selection activeCell="N34" sqref="N34"/>
    </sheetView>
  </sheetViews>
  <sheetFormatPr defaultRowHeight="15.95" customHeight="1" x14ac:dyDescent="0.2"/>
  <cols>
    <col min="1" max="1" width="4.140625" style="121" customWidth="1"/>
    <col min="2" max="2" width="28.7109375" customWidth="1"/>
    <col min="3" max="4" width="9.140625" hidden="1" customWidth="1"/>
    <col min="5" max="5" width="10.28515625" hidden="1" customWidth="1"/>
    <col min="6" max="11" width="9.140625" hidden="1" customWidth="1"/>
    <col min="12" max="12" width="9.140625" style="4"/>
    <col min="13" max="13" width="10.28515625" style="118" customWidth="1"/>
    <col min="14" max="14" width="20.140625" style="7" customWidth="1"/>
    <col min="15" max="15" width="17" style="7" customWidth="1"/>
    <col min="16" max="16" width="30.5703125" style="7" customWidth="1"/>
  </cols>
  <sheetData>
    <row r="1" spans="1:16" ht="19.5" customHeight="1" x14ac:dyDescent="0.25">
      <c r="A1" s="198" t="s">
        <v>42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 ht="12" customHeight="1" x14ac:dyDescent="0.2">
      <c r="A2" s="7"/>
    </row>
    <row r="3" spans="1:16" ht="15.95" customHeight="1" x14ac:dyDescent="0.2">
      <c r="A3" s="192" t="s">
        <v>37</v>
      </c>
      <c r="B3" s="194" t="s">
        <v>0</v>
      </c>
      <c r="C3" s="185" t="s">
        <v>25</v>
      </c>
      <c r="D3" s="186"/>
      <c r="E3" s="187"/>
      <c r="F3" s="185" t="s">
        <v>26</v>
      </c>
      <c r="G3" s="186"/>
      <c r="H3" s="187"/>
      <c r="I3" s="185" t="s">
        <v>27</v>
      </c>
      <c r="J3" s="186"/>
      <c r="K3" s="186"/>
      <c r="L3" s="189" t="s">
        <v>41</v>
      </c>
      <c r="M3" s="158"/>
      <c r="N3" s="37"/>
      <c r="O3" s="159"/>
      <c r="P3" s="183" t="s">
        <v>45</v>
      </c>
    </row>
    <row r="4" spans="1:16" ht="15.95" customHeight="1" x14ac:dyDescent="0.2">
      <c r="A4" s="193"/>
      <c r="B4" s="195"/>
      <c r="C4" s="22" t="s">
        <v>28</v>
      </c>
      <c r="D4" s="22" t="s">
        <v>29</v>
      </c>
      <c r="E4" s="22" t="s">
        <v>30</v>
      </c>
      <c r="F4" s="22" t="s">
        <v>31</v>
      </c>
      <c r="G4" s="22" t="s">
        <v>32</v>
      </c>
      <c r="H4" s="22" t="s">
        <v>33</v>
      </c>
      <c r="I4" s="22" t="s">
        <v>34</v>
      </c>
      <c r="J4" s="22" t="s">
        <v>35</v>
      </c>
      <c r="K4" s="108" t="s">
        <v>36</v>
      </c>
      <c r="L4" s="190"/>
      <c r="M4" s="152" t="s">
        <v>75</v>
      </c>
      <c r="N4" s="59" t="s">
        <v>43</v>
      </c>
      <c r="O4" s="98" t="s">
        <v>47</v>
      </c>
      <c r="P4" s="196"/>
    </row>
    <row r="5" spans="1:16" ht="15.95" customHeight="1" x14ac:dyDescent="0.2">
      <c r="A5" s="25">
        <v>1</v>
      </c>
      <c r="B5" s="102" t="s">
        <v>1</v>
      </c>
      <c r="C5" s="27">
        <v>120</v>
      </c>
      <c r="D5" s="27">
        <v>113</v>
      </c>
      <c r="E5" s="27">
        <v>69</v>
      </c>
      <c r="F5" s="27">
        <v>120</v>
      </c>
      <c r="G5" s="27">
        <v>32</v>
      </c>
      <c r="H5" s="27">
        <v>80</v>
      </c>
      <c r="I5" s="27">
        <v>150</v>
      </c>
      <c r="J5" s="27">
        <v>100</v>
      </c>
      <c r="K5" s="109">
        <v>100</v>
      </c>
      <c r="L5" s="28">
        <f t="shared" ref="L5:L32" si="0">SUM(C5:K5)</f>
        <v>884</v>
      </c>
      <c r="M5" s="161">
        <v>1</v>
      </c>
      <c r="N5" s="76" t="s">
        <v>44</v>
      </c>
      <c r="O5" s="71" t="s">
        <v>48</v>
      </c>
      <c r="P5" s="97" t="s">
        <v>67</v>
      </c>
    </row>
    <row r="6" spans="1:16" ht="15.95" customHeight="1" x14ac:dyDescent="0.2">
      <c r="A6" s="29">
        <f>A5+1</f>
        <v>2</v>
      </c>
      <c r="B6" s="120" t="s">
        <v>2</v>
      </c>
      <c r="C6" s="31">
        <v>120</v>
      </c>
      <c r="D6" s="31">
        <v>113</v>
      </c>
      <c r="E6" s="31">
        <v>69</v>
      </c>
      <c r="F6" s="31">
        <v>120</v>
      </c>
      <c r="G6" s="31">
        <v>16</v>
      </c>
      <c r="H6" s="31">
        <v>64</v>
      </c>
      <c r="I6" s="31">
        <v>150</v>
      </c>
      <c r="J6" s="31">
        <v>100</v>
      </c>
      <c r="K6" s="110">
        <v>87.5</v>
      </c>
      <c r="L6" s="32">
        <f t="shared" si="0"/>
        <v>839.5</v>
      </c>
      <c r="M6" s="117"/>
      <c r="N6" s="44"/>
      <c r="O6" s="154" t="s">
        <v>49</v>
      </c>
      <c r="P6" s="39" t="s">
        <v>46</v>
      </c>
    </row>
    <row r="7" spans="1:16" ht="15.95" customHeight="1" x14ac:dyDescent="0.2">
      <c r="A7" s="25">
        <f t="shared" ref="A7:A59" si="1">A6+1</f>
        <v>3</v>
      </c>
      <c r="B7" s="81" t="s">
        <v>4</v>
      </c>
      <c r="C7" s="82">
        <v>107</v>
      </c>
      <c r="D7" s="82">
        <v>113</v>
      </c>
      <c r="E7" s="82">
        <v>57</v>
      </c>
      <c r="F7" s="82">
        <v>100</v>
      </c>
      <c r="G7" s="82">
        <v>48</v>
      </c>
      <c r="H7" s="82">
        <v>64</v>
      </c>
      <c r="I7" s="82">
        <v>125</v>
      </c>
      <c r="J7" s="82">
        <v>100</v>
      </c>
      <c r="K7" s="82">
        <v>50</v>
      </c>
      <c r="L7" s="28">
        <f t="shared" si="0"/>
        <v>764</v>
      </c>
      <c r="M7" s="161">
        <v>2</v>
      </c>
      <c r="N7" s="76" t="s">
        <v>144</v>
      </c>
      <c r="O7" s="71" t="s">
        <v>48</v>
      </c>
      <c r="P7" s="97" t="s">
        <v>68</v>
      </c>
    </row>
    <row r="8" spans="1:16" ht="15.95" customHeight="1" x14ac:dyDescent="0.2">
      <c r="A8" s="33">
        <f t="shared" si="1"/>
        <v>4</v>
      </c>
      <c r="B8" s="79" t="s">
        <v>3</v>
      </c>
      <c r="C8" s="80">
        <v>107</v>
      </c>
      <c r="D8" s="80">
        <v>75</v>
      </c>
      <c r="E8" s="80">
        <v>57</v>
      </c>
      <c r="F8" s="80">
        <v>120</v>
      </c>
      <c r="G8" s="80">
        <v>32</v>
      </c>
      <c r="H8" s="80">
        <v>80</v>
      </c>
      <c r="I8" s="80">
        <v>125</v>
      </c>
      <c r="J8" s="80">
        <v>100</v>
      </c>
      <c r="K8" s="80">
        <v>50</v>
      </c>
      <c r="L8" s="14">
        <f t="shared" si="0"/>
        <v>746</v>
      </c>
      <c r="M8" s="118" t="s">
        <v>128</v>
      </c>
      <c r="N8" s="40"/>
      <c r="O8" s="69" t="s">
        <v>49</v>
      </c>
      <c r="P8" s="38" t="s">
        <v>46</v>
      </c>
    </row>
    <row r="9" spans="1:16" ht="15.95" customHeight="1" x14ac:dyDescent="0.2">
      <c r="A9" s="33">
        <f t="shared" si="1"/>
        <v>5</v>
      </c>
      <c r="B9" s="77" t="s">
        <v>11</v>
      </c>
      <c r="C9" s="78">
        <v>93</v>
      </c>
      <c r="D9" s="78">
        <v>75</v>
      </c>
      <c r="E9" s="78">
        <v>69</v>
      </c>
      <c r="F9" s="78">
        <v>100</v>
      </c>
      <c r="G9" s="78">
        <v>48</v>
      </c>
      <c r="H9" s="78">
        <v>64</v>
      </c>
      <c r="I9" s="78">
        <v>100</v>
      </c>
      <c r="J9" s="78">
        <v>100</v>
      </c>
      <c r="K9" s="78">
        <v>87.5</v>
      </c>
      <c r="L9" s="36">
        <f t="shared" si="0"/>
        <v>736.5</v>
      </c>
      <c r="M9" s="118" t="s">
        <v>127</v>
      </c>
      <c r="N9" s="38"/>
      <c r="P9" s="38"/>
    </row>
    <row r="10" spans="1:16" ht="15.95" customHeight="1" x14ac:dyDescent="0.2">
      <c r="A10" s="33">
        <f t="shared" si="1"/>
        <v>6</v>
      </c>
      <c r="B10" s="77" t="s">
        <v>5</v>
      </c>
      <c r="C10" s="78">
        <v>93</v>
      </c>
      <c r="D10" s="78">
        <v>75</v>
      </c>
      <c r="E10" s="78">
        <v>69</v>
      </c>
      <c r="F10" s="78">
        <v>100</v>
      </c>
      <c r="G10" s="78">
        <v>32</v>
      </c>
      <c r="H10" s="78">
        <v>48</v>
      </c>
      <c r="I10" s="78">
        <v>100</v>
      </c>
      <c r="J10" s="78">
        <v>80</v>
      </c>
      <c r="K10" s="78">
        <v>50</v>
      </c>
      <c r="L10" s="36">
        <f t="shared" si="0"/>
        <v>647</v>
      </c>
      <c r="M10" s="116"/>
      <c r="N10" s="38"/>
      <c r="P10" s="38"/>
    </row>
    <row r="11" spans="1:16" ht="15.95" customHeight="1" x14ac:dyDescent="0.2">
      <c r="A11" s="29">
        <f t="shared" si="1"/>
        <v>7</v>
      </c>
      <c r="B11" s="104" t="s">
        <v>7</v>
      </c>
      <c r="C11" s="86">
        <v>93</v>
      </c>
      <c r="D11" s="86">
        <v>94</v>
      </c>
      <c r="E11" s="86">
        <v>57</v>
      </c>
      <c r="F11" s="86">
        <v>80</v>
      </c>
      <c r="G11" s="86">
        <v>16</v>
      </c>
      <c r="H11" s="86">
        <v>48</v>
      </c>
      <c r="I11" s="86">
        <v>125</v>
      </c>
      <c r="J11" s="86">
        <v>80</v>
      </c>
      <c r="K11" s="86">
        <v>50</v>
      </c>
      <c r="L11" s="19">
        <f t="shared" si="0"/>
        <v>643</v>
      </c>
      <c r="M11" s="119"/>
      <c r="N11" s="41"/>
      <c r="O11" s="73"/>
      <c r="P11" s="39"/>
    </row>
    <row r="12" spans="1:16" ht="15.95" customHeight="1" x14ac:dyDescent="0.2">
      <c r="A12" s="25">
        <f t="shared" si="1"/>
        <v>8</v>
      </c>
      <c r="B12" s="84" t="s">
        <v>10</v>
      </c>
      <c r="C12" s="85">
        <v>93</v>
      </c>
      <c r="D12" s="85">
        <v>75</v>
      </c>
      <c r="E12" s="85">
        <v>57</v>
      </c>
      <c r="F12" s="85">
        <v>80</v>
      </c>
      <c r="G12" s="85">
        <v>32</v>
      </c>
      <c r="H12" s="85">
        <v>48</v>
      </c>
      <c r="I12" s="85">
        <v>125</v>
      </c>
      <c r="J12" s="85">
        <v>80</v>
      </c>
      <c r="K12" s="85">
        <v>50</v>
      </c>
      <c r="L12" s="15">
        <f t="shared" si="0"/>
        <v>640</v>
      </c>
      <c r="M12" s="118">
        <v>3</v>
      </c>
      <c r="N12" s="76" t="s">
        <v>52</v>
      </c>
      <c r="O12" s="71" t="s">
        <v>48</v>
      </c>
      <c r="P12" s="97" t="s">
        <v>68</v>
      </c>
    </row>
    <row r="13" spans="1:16" ht="15.95" customHeight="1" x14ac:dyDescent="0.2">
      <c r="A13" s="33">
        <f t="shared" si="1"/>
        <v>9</v>
      </c>
      <c r="B13" s="77" t="s">
        <v>12</v>
      </c>
      <c r="C13" s="78">
        <v>80</v>
      </c>
      <c r="D13" s="78">
        <v>75</v>
      </c>
      <c r="E13" s="78">
        <v>46</v>
      </c>
      <c r="F13" s="78">
        <v>80</v>
      </c>
      <c r="G13" s="78">
        <v>48</v>
      </c>
      <c r="H13" s="78">
        <v>48</v>
      </c>
      <c r="I13" s="78">
        <v>100</v>
      </c>
      <c r="J13" s="78">
        <v>60</v>
      </c>
      <c r="K13" s="78">
        <v>100</v>
      </c>
      <c r="L13" s="36">
        <f t="shared" si="0"/>
        <v>637</v>
      </c>
      <c r="M13" s="118" t="s">
        <v>128</v>
      </c>
      <c r="N13" s="40"/>
      <c r="O13" s="69" t="s">
        <v>49</v>
      </c>
      <c r="P13" s="38" t="s">
        <v>46</v>
      </c>
    </row>
    <row r="14" spans="1:16" ht="15.95" customHeight="1" x14ac:dyDescent="0.2">
      <c r="A14" s="33">
        <f t="shared" si="1"/>
        <v>10</v>
      </c>
      <c r="B14" s="77" t="s">
        <v>66</v>
      </c>
      <c r="C14" s="78">
        <v>93</v>
      </c>
      <c r="D14" s="78">
        <v>75</v>
      </c>
      <c r="E14" s="78">
        <v>80</v>
      </c>
      <c r="F14" s="78">
        <v>100</v>
      </c>
      <c r="G14" s="78">
        <v>32</v>
      </c>
      <c r="H14" s="78">
        <v>32</v>
      </c>
      <c r="I14" s="78">
        <v>100</v>
      </c>
      <c r="J14" s="78">
        <v>60</v>
      </c>
      <c r="K14" s="78">
        <v>37.5</v>
      </c>
      <c r="L14" s="36">
        <f t="shared" si="0"/>
        <v>609.5</v>
      </c>
      <c r="N14" s="40"/>
      <c r="O14" s="70"/>
      <c r="P14" s="38"/>
    </row>
    <row r="15" spans="1:16" ht="15.95" customHeight="1" x14ac:dyDescent="0.2">
      <c r="A15" s="33">
        <f t="shared" si="1"/>
        <v>11</v>
      </c>
      <c r="B15" s="77" t="s">
        <v>6</v>
      </c>
      <c r="C15" s="78">
        <v>93</v>
      </c>
      <c r="D15" s="78">
        <v>94</v>
      </c>
      <c r="E15" s="78">
        <v>46</v>
      </c>
      <c r="F15" s="78">
        <v>80</v>
      </c>
      <c r="G15" s="78">
        <v>16</v>
      </c>
      <c r="H15" s="78">
        <v>48</v>
      </c>
      <c r="I15" s="78">
        <v>100</v>
      </c>
      <c r="J15" s="78">
        <v>80</v>
      </c>
      <c r="K15" s="78">
        <v>50</v>
      </c>
      <c r="L15" s="36">
        <f t="shared" si="0"/>
        <v>607</v>
      </c>
      <c r="M15" s="116"/>
      <c r="N15" s="40"/>
      <c r="O15" s="70"/>
      <c r="P15" s="38"/>
    </row>
    <row r="16" spans="1:16" ht="15.95" customHeight="1" x14ac:dyDescent="0.2">
      <c r="A16" s="33">
        <f t="shared" si="1"/>
        <v>12</v>
      </c>
      <c r="B16" s="77" t="s">
        <v>9</v>
      </c>
      <c r="C16" s="78">
        <v>93</v>
      </c>
      <c r="D16" s="78">
        <v>75</v>
      </c>
      <c r="E16" s="78">
        <v>69</v>
      </c>
      <c r="F16" s="78">
        <v>80</v>
      </c>
      <c r="G16" s="78">
        <v>16</v>
      </c>
      <c r="H16" s="78">
        <v>32</v>
      </c>
      <c r="I16" s="78">
        <v>125</v>
      </c>
      <c r="J16" s="78">
        <v>60</v>
      </c>
      <c r="K16" s="78">
        <v>50</v>
      </c>
      <c r="L16" s="36">
        <f t="shared" si="0"/>
        <v>600</v>
      </c>
      <c r="N16" s="40"/>
      <c r="O16" s="70"/>
      <c r="P16" s="38"/>
    </row>
    <row r="17" spans="1:16" ht="15.95" customHeight="1" x14ac:dyDescent="0.2">
      <c r="A17" s="29">
        <f t="shared" si="1"/>
        <v>13</v>
      </c>
      <c r="B17" s="104" t="s">
        <v>8</v>
      </c>
      <c r="C17" s="86">
        <v>93</v>
      </c>
      <c r="D17" s="86">
        <v>56</v>
      </c>
      <c r="E17" s="86">
        <v>57</v>
      </c>
      <c r="F17" s="86">
        <v>60</v>
      </c>
      <c r="G17" s="86">
        <v>48</v>
      </c>
      <c r="H17" s="86">
        <v>48</v>
      </c>
      <c r="I17" s="86">
        <v>100</v>
      </c>
      <c r="J17" s="86">
        <v>80</v>
      </c>
      <c r="K17" s="86">
        <v>50</v>
      </c>
      <c r="L17" s="19">
        <f t="shared" si="0"/>
        <v>592</v>
      </c>
      <c r="M17" s="117"/>
      <c r="N17" s="44"/>
      <c r="O17" s="154"/>
      <c r="P17" s="39"/>
    </row>
    <row r="18" spans="1:16" ht="15.95" customHeight="1" x14ac:dyDescent="0.2">
      <c r="A18" s="25">
        <f t="shared" si="1"/>
        <v>14</v>
      </c>
      <c r="B18" s="81" t="s">
        <v>117</v>
      </c>
      <c r="C18" s="82">
        <v>93</v>
      </c>
      <c r="D18" s="82">
        <v>19</v>
      </c>
      <c r="E18" s="82">
        <v>34</v>
      </c>
      <c r="F18" s="82">
        <v>100</v>
      </c>
      <c r="G18" s="82">
        <v>32</v>
      </c>
      <c r="H18" s="82">
        <v>48</v>
      </c>
      <c r="I18" s="82">
        <v>100</v>
      </c>
      <c r="J18" s="82">
        <v>100</v>
      </c>
      <c r="K18" s="82">
        <v>50</v>
      </c>
      <c r="L18" s="28">
        <f t="shared" si="0"/>
        <v>576</v>
      </c>
      <c r="M18" s="116">
        <v>4</v>
      </c>
      <c r="N18" s="43" t="s">
        <v>88</v>
      </c>
      <c r="O18" s="69" t="s">
        <v>48</v>
      </c>
      <c r="P18" s="38" t="s">
        <v>69</v>
      </c>
    </row>
    <row r="19" spans="1:16" ht="15.95" customHeight="1" x14ac:dyDescent="0.2">
      <c r="A19" s="33">
        <f t="shared" si="1"/>
        <v>15</v>
      </c>
      <c r="B19" s="79" t="s">
        <v>13</v>
      </c>
      <c r="C19" s="80">
        <v>80</v>
      </c>
      <c r="D19" s="80">
        <v>38</v>
      </c>
      <c r="E19" s="80">
        <v>34</v>
      </c>
      <c r="F19" s="80">
        <v>60</v>
      </c>
      <c r="G19" s="80">
        <v>80</v>
      </c>
      <c r="H19" s="80">
        <v>48</v>
      </c>
      <c r="I19" s="80">
        <v>75</v>
      </c>
      <c r="J19" s="80">
        <v>60</v>
      </c>
      <c r="K19" s="80">
        <v>25</v>
      </c>
      <c r="L19" s="14">
        <f t="shared" si="0"/>
        <v>500</v>
      </c>
      <c r="M19" s="118" t="s">
        <v>126</v>
      </c>
      <c r="N19" s="40"/>
      <c r="O19" s="69" t="s">
        <v>49</v>
      </c>
      <c r="P19" s="38" t="s">
        <v>46</v>
      </c>
    </row>
    <row r="20" spans="1:16" ht="15.95" customHeight="1" x14ac:dyDescent="0.2">
      <c r="A20" s="33">
        <f t="shared" si="1"/>
        <v>16</v>
      </c>
      <c r="B20" s="79" t="s">
        <v>17</v>
      </c>
      <c r="C20" s="80">
        <v>67</v>
      </c>
      <c r="D20" s="80">
        <v>38</v>
      </c>
      <c r="E20" s="80">
        <v>34</v>
      </c>
      <c r="F20" s="80">
        <v>60</v>
      </c>
      <c r="G20" s="80">
        <v>64</v>
      </c>
      <c r="H20" s="80">
        <v>48</v>
      </c>
      <c r="I20" s="80">
        <v>75</v>
      </c>
      <c r="J20" s="80">
        <v>60</v>
      </c>
      <c r="K20" s="80">
        <v>37.5</v>
      </c>
      <c r="L20" s="14">
        <f t="shared" si="0"/>
        <v>483.5</v>
      </c>
      <c r="M20" s="118" t="s">
        <v>127</v>
      </c>
      <c r="N20" s="40"/>
      <c r="O20" s="70"/>
      <c r="P20" s="38"/>
    </row>
    <row r="21" spans="1:16" ht="15.95" customHeight="1" x14ac:dyDescent="0.2">
      <c r="A21" s="33">
        <f t="shared" si="1"/>
        <v>17</v>
      </c>
      <c r="B21" s="79" t="s">
        <v>38</v>
      </c>
      <c r="C21" s="80">
        <v>67</v>
      </c>
      <c r="D21" s="80">
        <v>38</v>
      </c>
      <c r="E21" s="80">
        <v>46</v>
      </c>
      <c r="F21" s="80">
        <v>80</v>
      </c>
      <c r="G21" s="80">
        <v>32</v>
      </c>
      <c r="H21" s="80">
        <v>32</v>
      </c>
      <c r="I21" s="80">
        <v>75</v>
      </c>
      <c r="J21" s="80">
        <v>60</v>
      </c>
      <c r="K21" s="80">
        <v>37.5</v>
      </c>
      <c r="L21" s="14">
        <f t="shared" si="0"/>
        <v>467.5</v>
      </c>
      <c r="M21" s="116"/>
      <c r="N21" s="43"/>
      <c r="O21" s="69"/>
      <c r="P21" s="38"/>
    </row>
    <row r="22" spans="1:16" ht="15.95" customHeight="1" x14ac:dyDescent="0.2">
      <c r="A22" s="29">
        <f t="shared" si="1"/>
        <v>18</v>
      </c>
      <c r="B22" s="104" t="s">
        <v>39</v>
      </c>
      <c r="C22" s="86">
        <v>67</v>
      </c>
      <c r="D22" s="86">
        <v>38</v>
      </c>
      <c r="E22" s="86">
        <v>46</v>
      </c>
      <c r="F22" s="86">
        <v>80</v>
      </c>
      <c r="G22" s="86">
        <v>16</v>
      </c>
      <c r="H22" s="86">
        <v>32</v>
      </c>
      <c r="I22" s="86">
        <v>75</v>
      </c>
      <c r="J22" s="86">
        <v>60</v>
      </c>
      <c r="K22" s="86">
        <v>37.5</v>
      </c>
      <c r="L22" s="19">
        <f t="shared" si="0"/>
        <v>451.5</v>
      </c>
      <c r="M22" s="117"/>
      <c r="N22" s="41"/>
      <c r="O22" s="154"/>
      <c r="P22" s="39"/>
    </row>
    <row r="23" spans="1:16" ht="15.95" customHeight="1" x14ac:dyDescent="0.2">
      <c r="A23" s="25">
        <f t="shared" si="1"/>
        <v>19</v>
      </c>
      <c r="B23" s="84" t="s">
        <v>121</v>
      </c>
      <c r="C23" s="85">
        <v>67</v>
      </c>
      <c r="D23" s="85">
        <v>38</v>
      </c>
      <c r="E23" s="85">
        <v>34</v>
      </c>
      <c r="F23" s="85">
        <v>60</v>
      </c>
      <c r="G23" s="85">
        <v>48</v>
      </c>
      <c r="H23" s="85">
        <v>32</v>
      </c>
      <c r="I23" s="85">
        <v>75</v>
      </c>
      <c r="J23" s="85">
        <v>60</v>
      </c>
      <c r="K23" s="85">
        <v>25</v>
      </c>
      <c r="L23" s="15">
        <f t="shared" si="0"/>
        <v>439</v>
      </c>
      <c r="M23" s="118">
        <v>5</v>
      </c>
      <c r="N23" s="38"/>
      <c r="P23" s="38"/>
    </row>
    <row r="24" spans="1:16" ht="15.95" customHeight="1" x14ac:dyDescent="0.2">
      <c r="A24" s="33">
        <f t="shared" si="1"/>
        <v>20</v>
      </c>
      <c r="B24" s="79" t="s">
        <v>119</v>
      </c>
      <c r="C24" s="80">
        <v>67</v>
      </c>
      <c r="D24" s="80">
        <v>38</v>
      </c>
      <c r="E24" s="80">
        <v>46</v>
      </c>
      <c r="F24" s="80">
        <v>60</v>
      </c>
      <c r="G24" s="80">
        <v>48</v>
      </c>
      <c r="H24" s="80">
        <v>32</v>
      </c>
      <c r="I24" s="80">
        <v>50</v>
      </c>
      <c r="J24" s="80">
        <v>60</v>
      </c>
      <c r="K24" s="80">
        <v>25</v>
      </c>
      <c r="L24" s="14">
        <f t="shared" si="0"/>
        <v>426</v>
      </c>
      <c r="M24" s="118" t="s">
        <v>126</v>
      </c>
      <c r="N24" s="38"/>
      <c r="P24" s="38"/>
    </row>
    <row r="25" spans="1:16" ht="15.95" customHeight="1" x14ac:dyDescent="0.2">
      <c r="A25" s="33">
        <f t="shared" si="1"/>
        <v>21</v>
      </c>
      <c r="B25" s="79" t="s">
        <v>118</v>
      </c>
      <c r="C25" s="80">
        <v>67</v>
      </c>
      <c r="D25" s="80">
        <v>38</v>
      </c>
      <c r="E25" s="80">
        <v>46</v>
      </c>
      <c r="F25" s="80">
        <v>60</v>
      </c>
      <c r="G25" s="80">
        <v>48</v>
      </c>
      <c r="H25" s="80">
        <v>32</v>
      </c>
      <c r="I25" s="80">
        <v>50</v>
      </c>
      <c r="J25" s="80">
        <v>60</v>
      </c>
      <c r="K25" s="80">
        <v>25</v>
      </c>
      <c r="L25" s="14">
        <f t="shared" si="0"/>
        <v>426</v>
      </c>
      <c r="N25" s="38"/>
      <c r="P25" s="38"/>
    </row>
    <row r="26" spans="1:16" ht="15.95" customHeight="1" x14ac:dyDescent="0.2">
      <c r="A26" s="33">
        <f t="shared" si="1"/>
        <v>22</v>
      </c>
      <c r="B26" s="79" t="s">
        <v>16</v>
      </c>
      <c r="C26" s="80">
        <v>67</v>
      </c>
      <c r="D26" s="80">
        <v>38</v>
      </c>
      <c r="E26" s="80">
        <v>34</v>
      </c>
      <c r="F26" s="80">
        <v>60</v>
      </c>
      <c r="G26" s="80">
        <v>32</v>
      </c>
      <c r="H26" s="80">
        <v>32</v>
      </c>
      <c r="I26" s="80">
        <v>75</v>
      </c>
      <c r="J26" s="80">
        <v>60</v>
      </c>
      <c r="K26" s="80">
        <v>25</v>
      </c>
      <c r="L26" s="14">
        <f t="shared" si="0"/>
        <v>423</v>
      </c>
      <c r="N26" s="38"/>
      <c r="P26" s="38"/>
    </row>
    <row r="27" spans="1:16" ht="15.95" customHeight="1" x14ac:dyDescent="0.2">
      <c r="A27" s="33">
        <f t="shared" si="1"/>
        <v>23</v>
      </c>
      <c r="B27" s="77" t="s">
        <v>24</v>
      </c>
      <c r="C27" s="78">
        <v>67</v>
      </c>
      <c r="D27" s="78">
        <v>38</v>
      </c>
      <c r="E27" s="78">
        <v>46</v>
      </c>
      <c r="F27" s="78">
        <v>40</v>
      </c>
      <c r="G27" s="78">
        <v>80</v>
      </c>
      <c r="H27" s="78">
        <v>32</v>
      </c>
      <c r="I27" s="78">
        <v>75</v>
      </c>
      <c r="J27" s="78">
        <v>20</v>
      </c>
      <c r="K27" s="78">
        <v>25</v>
      </c>
      <c r="L27" s="36">
        <f t="shared" si="0"/>
        <v>423</v>
      </c>
      <c r="M27" s="116"/>
      <c r="N27" s="38"/>
      <c r="P27" s="38"/>
    </row>
    <row r="28" spans="1:16" ht="15.95" customHeight="1" x14ac:dyDescent="0.2">
      <c r="A28" s="33">
        <f t="shared" si="1"/>
        <v>24</v>
      </c>
      <c r="B28" s="79" t="s">
        <v>15</v>
      </c>
      <c r="C28" s="80">
        <v>67</v>
      </c>
      <c r="D28" s="80">
        <v>38</v>
      </c>
      <c r="E28" s="80">
        <v>34</v>
      </c>
      <c r="F28" s="80">
        <v>60</v>
      </c>
      <c r="G28" s="80">
        <v>16</v>
      </c>
      <c r="H28" s="80">
        <v>32</v>
      </c>
      <c r="I28" s="80">
        <v>75</v>
      </c>
      <c r="J28" s="80">
        <v>60</v>
      </c>
      <c r="K28" s="80">
        <v>37.5</v>
      </c>
      <c r="L28" s="14">
        <f t="shared" si="0"/>
        <v>419.5</v>
      </c>
      <c r="N28" s="38"/>
      <c r="P28" s="38"/>
    </row>
    <row r="29" spans="1:16" ht="15.95" customHeight="1" x14ac:dyDescent="0.2">
      <c r="A29" s="33">
        <f t="shared" si="1"/>
        <v>25</v>
      </c>
      <c r="B29" s="77" t="s">
        <v>65</v>
      </c>
      <c r="C29" s="78">
        <v>80</v>
      </c>
      <c r="D29" s="78">
        <v>19</v>
      </c>
      <c r="E29" s="78">
        <v>80</v>
      </c>
      <c r="F29" s="78">
        <v>60</v>
      </c>
      <c r="G29" s="78">
        <v>32</v>
      </c>
      <c r="H29" s="78">
        <v>16</v>
      </c>
      <c r="I29" s="78">
        <v>100</v>
      </c>
      <c r="J29" s="78">
        <v>20</v>
      </c>
      <c r="K29" s="78">
        <v>12.5</v>
      </c>
      <c r="L29" s="36">
        <f t="shared" si="0"/>
        <v>419.5</v>
      </c>
      <c r="N29" s="38"/>
      <c r="P29" s="38"/>
    </row>
    <row r="30" spans="1:16" ht="15.95" customHeight="1" x14ac:dyDescent="0.2">
      <c r="A30" s="33">
        <f t="shared" si="1"/>
        <v>26</v>
      </c>
      <c r="B30" s="79" t="s">
        <v>72</v>
      </c>
      <c r="C30" s="80">
        <v>67</v>
      </c>
      <c r="D30" s="80">
        <v>38</v>
      </c>
      <c r="E30" s="80">
        <v>34</v>
      </c>
      <c r="F30" s="80">
        <v>40</v>
      </c>
      <c r="G30" s="80">
        <v>64</v>
      </c>
      <c r="H30" s="80">
        <v>32</v>
      </c>
      <c r="I30" s="80">
        <v>50</v>
      </c>
      <c r="J30" s="80">
        <v>60</v>
      </c>
      <c r="K30" s="80">
        <v>25</v>
      </c>
      <c r="L30" s="14">
        <f t="shared" si="0"/>
        <v>410</v>
      </c>
      <c r="N30" s="38"/>
      <c r="P30" s="38"/>
    </row>
    <row r="31" spans="1:16" ht="15.95" customHeight="1" x14ac:dyDescent="0.2">
      <c r="A31" s="33">
        <f t="shared" si="1"/>
        <v>27</v>
      </c>
      <c r="B31" s="79" t="s">
        <v>14</v>
      </c>
      <c r="C31" s="80">
        <v>67</v>
      </c>
      <c r="D31" s="80">
        <v>38</v>
      </c>
      <c r="E31" s="80">
        <v>34</v>
      </c>
      <c r="F31" s="80">
        <v>60</v>
      </c>
      <c r="G31" s="80">
        <v>16</v>
      </c>
      <c r="H31" s="80">
        <v>32</v>
      </c>
      <c r="I31" s="80">
        <v>75</v>
      </c>
      <c r="J31" s="80">
        <v>60</v>
      </c>
      <c r="K31" s="80">
        <v>25</v>
      </c>
      <c r="L31" s="14">
        <f t="shared" si="0"/>
        <v>407</v>
      </c>
      <c r="N31" s="38"/>
      <c r="P31" s="38"/>
    </row>
    <row r="32" spans="1:16" ht="15.95" customHeight="1" x14ac:dyDescent="0.2">
      <c r="A32" s="101">
        <f t="shared" si="1"/>
        <v>28</v>
      </c>
      <c r="B32" s="145" t="s">
        <v>73</v>
      </c>
      <c r="C32" s="146">
        <v>40</v>
      </c>
      <c r="D32" s="146">
        <v>38</v>
      </c>
      <c r="E32" s="146">
        <v>34</v>
      </c>
      <c r="F32" s="146">
        <v>60</v>
      </c>
      <c r="G32" s="146">
        <v>32</v>
      </c>
      <c r="H32" s="146">
        <v>32</v>
      </c>
      <c r="I32" s="146">
        <v>50</v>
      </c>
      <c r="J32" s="146">
        <v>60</v>
      </c>
      <c r="K32" s="146">
        <v>25</v>
      </c>
      <c r="L32" s="147">
        <f t="shared" si="0"/>
        <v>371</v>
      </c>
      <c r="M32" s="155"/>
      <c r="N32" s="38"/>
      <c r="P32" s="38"/>
    </row>
    <row r="33" spans="1:16" ht="15.95" customHeight="1" x14ac:dyDescent="0.2">
      <c r="A33" s="87">
        <f>A32+1</f>
        <v>29</v>
      </c>
      <c r="B33" s="88" t="s">
        <v>120</v>
      </c>
      <c r="C33" s="89">
        <v>67</v>
      </c>
      <c r="D33" s="89">
        <v>19</v>
      </c>
      <c r="E33" s="89">
        <v>11</v>
      </c>
      <c r="F33" s="89">
        <v>60</v>
      </c>
      <c r="G33" s="89">
        <v>32</v>
      </c>
      <c r="H33" s="89">
        <v>16</v>
      </c>
      <c r="I33" s="89">
        <v>75</v>
      </c>
      <c r="J33" s="89">
        <v>40</v>
      </c>
      <c r="K33" s="89">
        <v>12.5</v>
      </c>
      <c r="L33" s="90">
        <f t="shared" ref="L33:L45" si="2">SUM(C33:K33)</f>
        <v>332.5</v>
      </c>
      <c r="M33" s="171">
        <v>6</v>
      </c>
      <c r="N33" s="172"/>
      <c r="O33" s="173"/>
      <c r="P33" s="172"/>
    </row>
    <row r="34" spans="1:16" ht="15.95" customHeight="1" x14ac:dyDescent="0.2">
      <c r="A34" s="33">
        <f t="shared" si="1"/>
        <v>30</v>
      </c>
      <c r="B34" s="77" t="s">
        <v>122</v>
      </c>
      <c r="C34" s="78">
        <v>67</v>
      </c>
      <c r="D34" s="78">
        <v>19</v>
      </c>
      <c r="E34" s="78">
        <v>11</v>
      </c>
      <c r="F34" s="78">
        <v>60</v>
      </c>
      <c r="G34" s="78">
        <v>32</v>
      </c>
      <c r="H34" s="78">
        <v>16</v>
      </c>
      <c r="I34" s="78">
        <v>75</v>
      </c>
      <c r="J34" s="78">
        <v>40</v>
      </c>
      <c r="K34" s="78">
        <v>12.5</v>
      </c>
      <c r="L34" s="36">
        <f t="shared" si="2"/>
        <v>332.5</v>
      </c>
      <c r="M34" s="118" t="s">
        <v>129</v>
      </c>
      <c r="N34" s="103"/>
      <c r="O34" s="57"/>
      <c r="P34" s="197"/>
    </row>
    <row r="35" spans="1:16" ht="15.95" customHeight="1" x14ac:dyDescent="0.2">
      <c r="A35" s="33">
        <f t="shared" si="1"/>
        <v>31</v>
      </c>
      <c r="B35" s="77" t="s">
        <v>23</v>
      </c>
      <c r="C35" s="78">
        <v>40</v>
      </c>
      <c r="D35" s="78">
        <v>19</v>
      </c>
      <c r="E35" s="78">
        <v>11</v>
      </c>
      <c r="F35" s="78">
        <v>40</v>
      </c>
      <c r="G35" s="78">
        <v>80</v>
      </c>
      <c r="H35" s="78">
        <v>32</v>
      </c>
      <c r="I35" s="78">
        <v>50</v>
      </c>
      <c r="J35" s="78">
        <v>40</v>
      </c>
      <c r="K35" s="78">
        <v>12.5</v>
      </c>
      <c r="L35" s="36">
        <f t="shared" si="2"/>
        <v>324.5</v>
      </c>
      <c r="N35" s="40"/>
      <c r="O35" s="70"/>
      <c r="P35" s="197"/>
    </row>
    <row r="36" spans="1:16" ht="15.95" customHeight="1" x14ac:dyDescent="0.2">
      <c r="A36" s="33">
        <f t="shared" si="1"/>
        <v>32</v>
      </c>
      <c r="B36" s="77" t="s">
        <v>21</v>
      </c>
      <c r="C36" s="78">
        <v>40</v>
      </c>
      <c r="D36" s="78">
        <v>19</v>
      </c>
      <c r="E36" s="78">
        <v>23</v>
      </c>
      <c r="F36" s="78">
        <v>40</v>
      </c>
      <c r="G36" s="78">
        <v>48</v>
      </c>
      <c r="H36" s="78">
        <v>16</v>
      </c>
      <c r="I36" s="78">
        <v>75</v>
      </c>
      <c r="J36" s="78">
        <v>40</v>
      </c>
      <c r="K36" s="78">
        <v>12.5</v>
      </c>
      <c r="L36" s="36">
        <f t="shared" si="2"/>
        <v>313.5</v>
      </c>
      <c r="M36" s="116"/>
      <c r="N36" s="103"/>
      <c r="O36" s="57"/>
      <c r="P36" s="103"/>
    </row>
    <row r="37" spans="1:16" ht="15.95" customHeight="1" x14ac:dyDescent="0.2">
      <c r="A37" s="33">
        <f t="shared" si="1"/>
        <v>33</v>
      </c>
      <c r="B37" s="79" t="s">
        <v>20</v>
      </c>
      <c r="C37" s="80">
        <v>40</v>
      </c>
      <c r="D37" s="80">
        <v>19</v>
      </c>
      <c r="E37" s="80">
        <v>11</v>
      </c>
      <c r="F37" s="80">
        <v>40</v>
      </c>
      <c r="G37" s="80">
        <v>32</v>
      </c>
      <c r="H37" s="80">
        <v>16</v>
      </c>
      <c r="I37" s="80">
        <v>25</v>
      </c>
      <c r="J37" s="80">
        <v>40</v>
      </c>
      <c r="K37" s="80">
        <v>12.5</v>
      </c>
      <c r="L37" s="14">
        <f t="shared" si="2"/>
        <v>235.5</v>
      </c>
      <c r="N37" s="103"/>
      <c r="O37" s="57"/>
      <c r="P37" s="103"/>
    </row>
    <row r="38" spans="1:16" ht="15.95" customHeight="1" x14ac:dyDescent="0.2">
      <c r="A38" s="33">
        <f t="shared" si="1"/>
        <v>34</v>
      </c>
      <c r="B38" s="79" t="s">
        <v>123</v>
      </c>
      <c r="C38" s="80">
        <v>67</v>
      </c>
      <c r="D38" s="80">
        <v>19</v>
      </c>
      <c r="E38" s="80">
        <v>11</v>
      </c>
      <c r="F38" s="80">
        <v>20</v>
      </c>
      <c r="G38" s="80">
        <v>16</v>
      </c>
      <c r="H38" s="80">
        <v>16</v>
      </c>
      <c r="I38" s="80">
        <v>25</v>
      </c>
      <c r="J38" s="80">
        <v>40</v>
      </c>
      <c r="K38" s="80">
        <v>12.5</v>
      </c>
      <c r="L38" s="14">
        <f t="shared" si="2"/>
        <v>226.5</v>
      </c>
      <c r="N38" s="103"/>
      <c r="O38" s="57"/>
      <c r="P38" s="103"/>
    </row>
    <row r="39" spans="1:16" ht="15.95" customHeight="1" x14ac:dyDescent="0.2">
      <c r="A39" s="33">
        <f t="shared" si="1"/>
        <v>35</v>
      </c>
      <c r="B39" s="79" t="s">
        <v>74</v>
      </c>
      <c r="C39" s="80">
        <v>67</v>
      </c>
      <c r="D39" s="80">
        <v>19</v>
      </c>
      <c r="E39" s="80">
        <v>11</v>
      </c>
      <c r="F39" s="80">
        <v>20</v>
      </c>
      <c r="G39" s="80">
        <v>16</v>
      </c>
      <c r="H39" s="80">
        <v>16</v>
      </c>
      <c r="I39" s="80">
        <v>25</v>
      </c>
      <c r="J39" s="80">
        <v>40</v>
      </c>
      <c r="K39" s="80">
        <v>12.5</v>
      </c>
      <c r="L39" s="14">
        <f t="shared" si="2"/>
        <v>226.5</v>
      </c>
      <c r="N39" s="162"/>
      <c r="O39" s="157"/>
      <c r="P39" s="103"/>
    </row>
    <row r="40" spans="1:16" ht="15.95" customHeight="1" x14ac:dyDescent="0.2">
      <c r="A40" s="33">
        <f t="shared" si="1"/>
        <v>36</v>
      </c>
      <c r="B40" s="79" t="s">
        <v>22</v>
      </c>
      <c r="C40" s="80">
        <v>40</v>
      </c>
      <c r="D40" s="80">
        <v>19</v>
      </c>
      <c r="E40" s="80">
        <v>11</v>
      </c>
      <c r="F40" s="80">
        <v>40</v>
      </c>
      <c r="G40" s="80">
        <v>16</v>
      </c>
      <c r="H40" s="80">
        <v>16</v>
      </c>
      <c r="I40" s="80">
        <v>25</v>
      </c>
      <c r="J40" s="80">
        <v>40</v>
      </c>
      <c r="K40" s="80">
        <v>12.5</v>
      </c>
      <c r="L40" s="14">
        <f t="shared" si="2"/>
        <v>219.5</v>
      </c>
      <c r="M40" s="116"/>
      <c r="N40" s="162"/>
      <c r="O40" s="157"/>
      <c r="P40" s="103"/>
    </row>
    <row r="41" spans="1:16" ht="15.95" customHeight="1" x14ac:dyDescent="0.2">
      <c r="A41" s="33">
        <f t="shared" si="1"/>
        <v>37</v>
      </c>
      <c r="B41" s="79" t="s">
        <v>19</v>
      </c>
      <c r="C41" s="80">
        <v>40</v>
      </c>
      <c r="D41" s="80">
        <v>19</v>
      </c>
      <c r="E41" s="80">
        <v>11</v>
      </c>
      <c r="F41" s="80">
        <v>20</v>
      </c>
      <c r="G41" s="80">
        <v>16</v>
      </c>
      <c r="H41" s="80">
        <v>16</v>
      </c>
      <c r="I41" s="80">
        <v>25</v>
      </c>
      <c r="J41" s="80">
        <v>60</v>
      </c>
      <c r="K41" s="80">
        <v>12.5</v>
      </c>
      <c r="L41" s="14">
        <f t="shared" si="2"/>
        <v>219.5</v>
      </c>
      <c r="N41" s="162"/>
      <c r="O41" s="157"/>
      <c r="P41" s="103"/>
    </row>
    <row r="42" spans="1:16" ht="15.95" customHeight="1" x14ac:dyDescent="0.2">
      <c r="A42" s="33">
        <f t="shared" si="1"/>
        <v>38</v>
      </c>
      <c r="B42" s="79" t="s">
        <v>124</v>
      </c>
      <c r="C42" s="80">
        <v>40</v>
      </c>
      <c r="D42" s="80">
        <v>19</v>
      </c>
      <c r="E42" s="80">
        <v>11</v>
      </c>
      <c r="F42" s="80">
        <v>20</v>
      </c>
      <c r="G42" s="80">
        <v>32</v>
      </c>
      <c r="H42" s="80">
        <v>16</v>
      </c>
      <c r="I42" s="80">
        <v>25</v>
      </c>
      <c r="J42" s="80">
        <v>40</v>
      </c>
      <c r="K42" s="80">
        <v>12.5</v>
      </c>
      <c r="L42" s="14">
        <f t="shared" si="2"/>
        <v>215.5</v>
      </c>
      <c r="N42" s="103"/>
      <c r="O42" s="57"/>
      <c r="P42" s="103"/>
    </row>
    <row r="43" spans="1:16" ht="15.95" customHeight="1" x14ac:dyDescent="0.2">
      <c r="A43" s="33">
        <f t="shared" si="1"/>
        <v>39</v>
      </c>
      <c r="B43" s="79" t="s">
        <v>125</v>
      </c>
      <c r="C43" s="80">
        <v>40</v>
      </c>
      <c r="D43" s="80">
        <v>19</v>
      </c>
      <c r="E43" s="80">
        <v>11</v>
      </c>
      <c r="F43" s="80">
        <v>20</v>
      </c>
      <c r="G43" s="80">
        <v>32</v>
      </c>
      <c r="H43" s="80">
        <v>16</v>
      </c>
      <c r="I43" s="80">
        <v>25</v>
      </c>
      <c r="J43" s="80">
        <v>40</v>
      </c>
      <c r="K43" s="80">
        <v>12.5</v>
      </c>
      <c r="L43" s="14">
        <f t="shared" si="2"/>
        <v>215.5</v>
      </c>
      <c r="N43" s="103"/>
      <c r="O43" s="57"/>
      <c r="P43" s="103"/>
    </row>
    <row r="44" spans="1:16" ht="15.95" customHeight="1" x14ac:dyDescent="0.2">
      <c r="A44" s="33">
        <f t="shared" si="1"/>
        <v>40</v>
      </c>
      <c r="B44" s="79" t="s">
        <v>40</v>
      </c>
      <c r="C44" s="80">
        <v>40</v>
      </c>
      <c r="D44" s="80">
        <v>19</v>
      </c>
      <c r="E44" s="80">
        <v>11</v>
      </c>
      <c r="F44" s="80">
        <v>20</v>
      </c>
      <c r="G44" s="80">
        <v>16</v>
      </c>
      <c r="H44" s="80">
        <v>16</v>
      </c>
      <c r="I44" s="80">
        <v>25</v>
      </c>
      <c r="J44" s="80">
        <v>40</v>
      </c>
      <c r="K44" s="80">
        <v>12.5</v>
      </c>
      <c r="L44" s="14">
        <f t="shared" si="2"/>
        <v>199.5</v>
      </c>
      <c r="N44" s="103"/>
      <c r="O44" s="57"/>
      <c r="P44" s="103"/>
    </row>
    <row r="45" spans="1:16" ht="15.95" customHeight="1" x14ac:dyDescent="0.2">
      <c r="A45" s="29">
        <f t="shared" si="1"/>
        <v>41</v>
      </c>
      <c r="B45" s="104" t="s">
        <v>18</v>
      </c>
      <c r="C45" s="86">
        <v>40</v>
      </c>
      <c r="D45" s="86">
        <v>19</v>
      </c>
      <c r="E45" s="86">
        <v>23</v>
      </c>
      <c r="F45" s="86">
        <v>20</v>
      </c>
      <c r="G45" s="86">
        <v>16</v>
      </c>
      <c r="H45" s="86">
        <v>16</v>
      </c>
      <c r="I45" s="86">
        <v>25</v>
      </c>
      <c r="J45" s="86">
        <v>20</v>
      </c>
      <c r="K45" s="86">
        <v>12.5</v>
      </c>
      <c r="L45" s="19">
        <f t="shared" si="2"/>
        <v>191.5</v>
      </c>
      <c r="M45" s="153"/>
      <c r="N45" s="56"/>
      <c r="O45" s="107"/>
      <c r="P45" s="56"/>
    </row>
    <row r="46" spans="1:16" ht="15.95" customHeight="1" x14ac:dyDescent="0.2">
      <c r="A46" s="25">
        <f t="shared" si="1"/>
        <v>42</v>
      </c>
      <c r="B46" s="81" t="s">
        <v>56</v>
      </c>
      <c r="C46" s="85">
        <v>40</v>
      </c>
      <c r="D46" s="85">
        <v>19</v>
      </c>
      <c r="E46" s="85">
        <v>11</v>
      </c>
      <c r="F46" s="85">
        <v>20</v>
      </c>
      <c r="G46" s="85">
        <v>16</v>
      </c>
      <c r="H46" s="85">
        <v>16</v>
      </c>
      <c r="I46" s="85">
        <v>25</v>
      </c>
      <c r="J46" s="85">
        <v>20</v>
      </c>
      <c r="K46" s="85">
        <v>12.5</v>
      </c>
      <c r="L46" s="15"/>
      <c r="M46" s="118">
        <v>7</v>
      </c>
      <c r="N46" s="38"/>
      <c r="P46" s="38"/>
    </row>
    <row r="47" spans="1:16" ht="15.95" customHeight="1" x14ac:dyDescent="0.2">
      <c r="A47" s="33">
        <f t="shared" si="1"/>
        <v>43</v>
      </c>
      <c r="B47" s="77" t="s">
        <v>130</v>
      </c>
      <c r="C47" s="80"/>
      <c r="D47" s="80"/>
      <c r="E47" s="80"/>
      <c r="F47" s="80"/>
      <c r="G47" s="80"/>
      <c r="H47" s="80"/>
      <c r="I47" s="80"/>
      <c r="J47" s="80"/>
      <c r="K47" s="80"/>
      <c r="L47" s="14"/>
      <c r="M47" s="118" t="s">
        <v>129</v>
      </c>
      <c r="N47" s="38"/>
      <c r="P47" s="38"/>
    </row>
    <row r="48" spans="1:16" ht="15.95" customHeight="1" x14ac:dyDescent="0.2">
      <c r="A48" s="33">
        <f t="shared" si="1"/>
        <v>44</v>
      </c>
      <c r="B48" s="77" t="s">
        <v>131</v>
      </c>
      <c r="C48" s="80"/>
      <c r="D48" s="80"/>
      <c r="E48" s="80"/>
      <c r="F48" s="80"/>
      <c r="G48" s="80"/>
      <c r="H48" s="80"/>
      <c r="I48" s="80"/>
      <c r="J48" s="80"/>
      <c r="K48" s="80"/>
      <c r="L48" s="14"/>
      <c r="M48" s="118" t="s">
        <v>143</v>
      </c>
      <c r="N48" s="38"/>
      <c r="P48" s="38"/>
    </row>
    <row r="49" spans="1:16" ht="15.95" customHeight="1" x14ac:dyDescent="0.2">
      <c r="A49" s="33">
        <f t="shared" si="1"/>
        <v>45</v>
      </c>
      <c r="B49" s="77" t="s">
        <v>132</v>
      </c>
      <c r="C49" s="80"/>
      <c r="D49" s="80"/>
      <c r="E49" s="80"/>
      <c r="F49" s="80"/>
      <c r="G49" s="80"/>
      <c r="H49" s="80"/>
      <c r="I49" s="80"/>
      <c r="J49" s="80"/>
      <c r="K49" s="80"/>
      <c r="L49" s="14"/>
      <c r="N49" s="38"/>
      <c r="P49" s="38"/>
    </row>
    <row r="50" spans="1:16" ht="15.95" customHeight="1" x14ac:dyDescent="0.2">
      <c r="A50" s="33">
        <f t="shared" si="1"/>
        <v>46</v>
      </c>
      <c r="B50" s="77" t="s">
        <v>133</v>
      </c>
      <c r="C50" s="80"/>
      <c r="D50" s="80"/>
      <c r="E50" s="80"/>
      <c r="F50" s="80"/>
      <c r="G50" s="80"/>
      <c r="H50" s="80"/>
      <c r="I50" s="80"/>
      <c r="J50" s="80"/>
      <c r="K50" s="80"/>
      <c r="L50" s="14"/>
      <c r="N50" s="38"/>
      <c r="P50" s="38"/>
    </row>
    <row r="51" spans="1:16" ht="15.95" customHeight="1" x14ac:dyDescent="0.2">
      <c r="A51" s="33">
        <f t="shared" si="1"/>
        <v>47</v>
      </c>
      <c r="B51" s="79" t="s">
        <v>134</v>
      </c>
      <c r="C51" s="129"/>
      <c r="D51" s="129"/>
      <c r="E51" s="129"/>
      <c r="F51" s="129"/>
      <c r="G51" s="129"/>
      <c r="H51" s="129"/>
      <c r="I51" s="129"/>
      <c r="J51" s="129"/>
      <c r="K51" s="129"/>
      <c r="L51" s="130"/>
      <c r="N51" s="38"/>
      <c r="P51" s="38"/>
    </row>
    <row r="52" spans="1:16" ht="15.95" customHeight="1" x14ac:dyDescent="0.2">
      <c r="A52" s="33">
        <f t="shared" si="1"/>
        <v>48</v>
      </c>
      <c r="B52" s="79" t="s">
        <v>135</v>
      </c>
      <c r="C52" s="129"/>
      <c r="D52" s="129"/>
      <c r="E52" s="129"/>
      <c r="F52" s="129"/>
      <c r="G52" s="129"/>
      <c r="H52" s="129"/>
      <c r="I52" s="129"/>
      <c r="J52" s="129"/>
      <c r="K52" s="129"/>
      <c r="L52" s="130"/>
      <c r="N52" s="38"/>
      <c r="P52" s="38"/>
    </row>
    <row r="53" spans="1:16" ht="15.95" customHeight="1" x14ac:dyDescent="0.2">
      <c r="A53" s="33">
        <f t="shared" si="1"/>
        <v>49</v>
      </c>
      <c r="B53" s="79" t="s">
        <v>136</v>
      </c>
      <c r="C53" s="79"/>
      <c r="D53" s="79"/>
      <c r="E53" s="79"/>
      <c r="F53" s="79"/>
      <c r="G53" s="79"/>
      <c r="H53" s="79"/>
      <c r="I53" s="79"/>
      <c r="J53" s="79"/>
      <c r="K53" s="79"/>
      <c r="L53" s="131"/>
      <c r="N53" s="38"/>
      <c r="P53" s="38"/>
    </row>
    <row r="54" spans="1:16" ht="15.95" customHeight="1" x14ac:dyDescent="0.2">
      <c r="A54" s="33">
        <f t="shared" si="1"/>
        <v>50</v>
      </c>
      <c r="B54" s="79" t="s">
        <v>137</v>
      </c>
      <c r="C54" s="79"/>
      <c r="D54" s="79"/>
      <c r="E54" s="79"/>
      <c r="F54" s="79"/>
      <c r="G54" s="79"/>
      <c r="H54" s="79"/>
      <c r="I54" s="79"/>
      <c r="J54" s="79"/>
      <c r="K54" s="79"/>
      <c r="L54" s="131"/>
      <c r="N54" s="38"/>
      <c r="P54" s="38"/>
    </row>
    <row r="55" spans="1:16" ht="15.95" customHeight="1" x14ac:dyDescent="0.2">
      <c r="A55" s="33">
        <f t="shared" si="1"/>
        <v>51</v>
      </c>
      <c r="B55" s="79" t="s">
        <v>138</v>
      </c>
      <c r="C55" s="79"/>
      <c r="D55" s="79"/>
      <c r="E55" s="79"/>
      <c r="F55" s="79"/>
      <c r="G55" s="79"/>
      <c r="H55" s="79"/>
      <c r="I55" s="79"/>
      <c r="J55" s="79"/>
      <c r="K55" s="79"/>
      <c r="L55" s="131"/>
      <c r="N55" s="38"/>
      <c r="P55" s="38"/>
    </row>
    <row r="56" spans="1:16" ht="15.95" customHeight="1" x14ac:dyDescent="0.2">
      <c r="A56" s="33">
        <f t="shared" si="1"/>
        <v>52</v>
      </c>
      <c r="B56" s="79" t="s">
        <v>139</v>
      </c>
      <c r="C56" s="79"/>
      <c r="D56" s="79"/>
      <c r="E56" s="79"/>
      <c r="F56" s="79"/>
      <c r="G56" s="79"/>
      <c r="H56" s="79"/>
      <c r="I56" s="79"/>
      <c r="J56" s="79"/>
      <c r="K56" s="79"/>
      <c r="L56" s="131"/>
      <c r="N56" s="38"/>
      <c r="P56" s="38"/>
    </row>
    <row r="57" spans="1:16" ht="15.95" customHeight="1" x14ac:dyDescent="0.2">
      <c r="A57" s="33">
        <f t="shared" si="1"/>
        <v>53</v>
      </c>
      <c r="B57" s="79" t="s">
        <v>140</v>
      </c>
      <c r="C57" s="79"/>
      <c r="D57" s="79"/>
      <c r="E57" s="79"/>
      <c r="F57" s="79"/>
      <c r="G57" s="79"/>
      <c r="H57" s="79"/>
      <c r="I57" s="79"/>
      <c r="J57" s="79"/>
      <c r="K57" s="79"/>
      <c r="L57" s="131"/>
      <c r="N57" s="38"/>
      <c r="P57" s="38"/>
    </row>
    <row r="58" spans="1:16" ht="15.95" customHeight="1" x14ac:dyDescent="0.2">
      <c r="A58" s="33">
        <f t="shared" si="1"/>
        <v>54</v>
      </c>
      <c r="B58" s="79" t="s">
        <v>141</v>
      </c>
      <c r="C58" s="79"/>
      <c r="D58" s="79"/>
      <c r="E58" s="79"/>
      <c r="F58" s="79"/>
      <c r="G58" s="79"/>
      <c r="H58" s="79"/>
      <c r="I58" s="79"/>
      <c r="J58" s="79"/>
      <c r="K58" s="79"/>
      <c r="L58" s="131"/>
      <c r="N58" s="38"/>
      <c r="P58" s="38"/>
    </row>
    <row r="59" spans="1:16" ht="15.95" customHeight="1" x14ac:dyDescent="0.2">
      <c r="A59" s="29">
        <f t="shared" si="1"/>
        <v>55</v>
      </c>
      <c r="B59" s="104" t="s">
        <v>142</v>
      </c>
      <c r="C59" s="104"/>
      <c r="D59" s="104"/>
      <c r="E59" s="104"/>
      <c r="F59" s="104"/>
      <c r="G59" s="104"/>
      <c r="H59" s="104"/>
      <c r="I59" s="104"/>
      <c r="J59" s="104"/>
      <c r="K59" s="104"/>
      <c r="L59" s="144"/>
      <c r="M59" s="117"/>
      <c r="N59" s="39"/>
      <c r="O59" s="72"/>
      <c r="P59" s="39"/>
    </row>
    <row r="60" spans="1:16" ht="15.95" customHeight="1" x14ac:dyDescent="0.2">
      <c r="A60" s="7"/>
    </row>
    <row r="61" spans="1:16" ht="15.95" customHeight="1" x14ac:dyDescent="0.2">
      <c r="A61" s="7"/>
    </row>
    <row r="62" spans="1:16" ht="15.95" customHeight="1" x14ac:dyDescent="0.2">
      <c r="A62" s="7"/>
    </row>
    <row r="63" spans="1:16" ht="15.95" customHeight="1" x14ac:dyDescent="0.2">
      <c r="A63" s="7"/>
    </row>
    <row r="64" spans="1:16" ht="15.95" customHeight="1" x14ac:dyDescent="0.2">
      <c r="A64" s="7"/>
    </row>
    <row r="65" spans="1:1" ht="15.95" customHeight="1" x14ac:dyDescent="0.2">
      <c r="A65" s="7"/>
    </row>
    <row r="66" spans="1:1" ht="15.95" customHeight="1" x14ac:dyDescent="0.2">
      <c r="A66" s="7"/>
    </row>
    <row r="67" spans="1:1" ht="15.95" customHeight="1" x14ac:dyDescent="0.2">
      <c r="A67" s="7"/>
    </row>
    <row r="68" spans="1:1" ht="15.95" customHeight="1" x14ac:dyDescent="0.2">
      <c r="A68" s="7"/>
    </row>
    <row r="69" spans="1:1" ht="15.95" customHeight="1" x14ac:dyDescent="0.2">
      <c r="A69" s="7"/>
    </row>
    <row r="70" spans="1:1" ht="15.95" customHeight="1" x14ac:dyDescent="0.2">
      <c r="A70" s="7"/>
    </row>
    <row r="71" spans="1:1" ht="15.95" customHeight="1" x14ac:dyDescent="0.2">
      <c r="A71" s="7"/>
    </row>
    <row r="72" spans="1:1" ht="15.95" customHeight="1" x14ac:dyDescent="0.2">
      <c r="A72" s="7"/>
    </row>
    <row r="73" spans="1:1" ht="15.95" customHeight="1" x14ac:dyDescent="0.2">
      <c r="A73" s="7"/>
    </row>
    <row r="74" spans="1:1" ht="15.95" customHeight="1" x14ac:dyDescent="0.2">
      <c r="A74" s="7"/>
    </row>
    <row r="75" spans="1:1" ht="15.95" customHeight="1" x14ac:dyDescent="0.2">
      <c r="A75" s="7"/>
    </row>
    <row r="76" spans="1:1" ht="15.95" customHeight="1" x14ac:dyDescent="0.2">
      <c r="A76" s="7"/>
    </row>
    <row r="77" spans="1:1" ht="15.95" customHeight="1" x14ac:dyDescent="0.2">
      <c r="A77" s="7"/>
    </row>
    <row r="78" spans="1:1" ht="15.95" customHeight="1" x14ac:dyDescent="0.2">
      <c r="A78" s="7"/>
    </row>
    <row r="79" spans="1:1" ht="15.95" customHeight="1" x14ac:dyDescent="0.2">
      <c r="A79" s="7"/>
    </row>
    <row r="80" spans="1:1" ht="15.95" customHeight="1" x14ac:dyDescent="0.2">
      <c r="A80" s="7"/>
    </row>
  </sheetData>
  <mergeCells count="9">
    <mergeCell ref="P3:P4"/>
    <mergeCell ref="P34:P35"/>
    <mergeCell ref="A1:P1"/>
    <mergeCell ref="A3:A4"/>
    <mergeCell ref="B3:B4"/>
    <mergeCell ref="C3:E3"/>
    <mergeCell ref="F3:H3"/>
    <mergeCell ref="I3:K3"/>
    <mergeCell ref="L3:L4"/>
  </mergeCells>
  <phoneticPr fontId="2" type="noConversion"/>
  <pageMargins left="0.75" right="0.75" top="0.75" bottom="0.75" header="0.5" footer="0.5"/>
  <pageSetup orientation="landscape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80"/>
  <sheetViews>
    <sheetView zoomScale="110" zoomScaleNormal="110" workbookViewId="0">
      <selection activeCell="O36" sqref="O36"/>
    </sheetView>
  </sheetViews>
  <sheetFormatPr defaultRowHeight="15.95" customHeight="1" x14ac:dyDescent="0.2"/>
  <cols>
    <col min="1" max="1" width="4.140625" style="121" customWidth="1"/>
    <col min="2" max="2" width="32.5703125" customWidth="1"/>
    <col min="3" max="4" width="9.140625" hidden="1" customWidth="1"/>
    <col min="5" max="5" width="10.28515625" hidden="1" customWidth="1"/>
    <col min="6" max="11" width="9.140625" hidden="1" customWidth="1"/>
    <col min="12" max="12" width="9.140625" style="4"/>
    <col min="13" max="13" width="10.28515625" style="118" customWidth="1"/>
    <col min="14" max="14" width="13.7109375" style="4" customWidth="1"/>
    <col min="15" max="15" width="27.5703125" style="3" customWidth="1"/>
    <col min="16" max="16" width="11" customWidth="1"/>
  </cols>
  <sheetData>
    <row r="1" spans="1:15" ht="20.25" customHeight="1" x14ac:dyDescent="0.25">
      <c r="A1" s="198" t="s">
        <v>42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</row>
    <row r="2" spans="1:15" ht="15.95" customHeight="1" x14ac:dyDescent="0.2">
      <c r="A2" s="7"/>
    </row>
    <row r="3" spans="1:15" ht="15.95" customHeight="1" x14ac:dyDescent="0.2">
      <c r="A3" s="192" t="s">
        <v>37</v>
      </c>
      <c r="B3" s="194" t="s">
        <v>0</v>
      </c>
      <c r="C3" s="185" t="s">
        <v>25</v>
      </c>
      <c r="D3" s="186"/>
      <c r="E3" s="187"/>
      <c r="F3" s="185" t="s">
        <v>26</v>
      </c>
      <c r="G3" s="186"/>
      <c r="H3" s="187"/>
      <c r="I3" s="185" t="s">
        <v>27</v>
      </c>
      <c r="J3" s="186"/>
      <c r="K3" s="186"/>
      <c r="L3" s="189" t="s">
        <v>41</v>
      </c>
      <c r="M3" s="158"/>
      <c r="N3" s="20"/>
      <c r="O3" s="167"/>
    </row>
    <row r="4" spans="1:15" ht="15.95" customHeight="1" x14ac:dyDescent="0.2">
      <c r="A4" s="193"/>
      <c r="B4" s="195"/>
      <c r="C4" s="22" t="s">
        <v>28</v>
      </c>
      <c r="D4" s="22" t="s">
        <v>29</v>
      </c>
      <c r="E4" s="22" t="s">
        <v>30</v>
      </c>
      <c r="F4" s="22" t="s">
        <v>31</v>
      </c>
      <c r="G4" s="22" t="s">
        <v>32</v>
      </c>
      <c r="H4" s="22" t="s">
        <v>33</v>
      </c>
      <c r="I4" s="22" t="s">
        <v>34</v>
      </c>
      <c r="J4" s="22" t="s">
        <v>35</v>
      </c>
      <c r="K4" s="108" t="s">
        <v>36</v>
      </c>
      <c r="L4" s="190"/>
      <c r="M4" s="152" t="s">
        <v>75</v>
      </c>
      <c r="N4" s="60" t="s">
        <v>51</v>
      </c>
      <c r="O4" s="168" t="s">
        <v>50</v>
      </c>
    </row>
    <row r="5" spans="1:15" ht="15.95" customHeight="1" x14ac:dyDescent="0.2">
      <c r="A5" s="25">
        <v>1</v>
      </c>
      <c r="B5" s="102" t="s">
        <v>1</v>
      </c>
      <c r="C5" s="27">
        <v>120</v>
      </c>
      <c r="D5" s="27">
        <v>113</v>
      </c>
      <c r="E5" s="27">
        <v>69</v>
      </c>
      <c r="F5" s="27">
        <v>120</v>
      </c>
      <c r="G5" s="27">
        <v>32</v>
      </c>
      <c r="H5" s="27">
        <v>80</v>
      </c>
      <c r="I5" s="27">
        <v>150</v>
      </c>
      <c r="J5" s="27">
        <v>100</v>
      </c>
      <c r="K5" s="109">
        <v>100</v>
      </c>
      <c r="L5" s="28">
        <f t="shared" ref="L5:L45" si="0">SUM(C5:K5)</f>
        <v>884</v>
      </c>
      <c r="M5" s="161">
        <v>1</v>
      </c>
      <c r="N5" s="67" t="s">
        <v>70</v>
      </c>
      <c r="O5" s="169" t="s">
        <v>89</v>
      </c>
    </row>
    <row r="6" spans="1:15" ht="15.95" customHeight="1" x14ac:dyDescent="0.2">
      <c r="A6" s="29">
        <f>A5+1</f>
        <v>2</v>
      </c>
      <c r="B6" s="120" t="s">
        <v>2</v>
      </c>
      <c r="C6" s="31">
        <v>120</v>
      </c>
      <c r="D6" s="31">
        <v>113</v>
      </c>
      <c r="E6" s="31">
        <v>69</v>
      </c>
      <c r="F6" s="31">
        <v>120</v>
      </c>
      <c r="G6" s="31">
        <v>16</v>
      </c>
      <c r="H6" s="31">
        <v>64</v>
      </c>
      <c r="I6" s="31">
        <v>150</v>
      </c>
      <c r="J6" s="31">
        <v>100</v>
      </c>
      <c r="K6" s="110">
        <v>87.5</v>
      </c>
      <c r="L6" s="32">
        <f t="shared" si="0"/>
        <v>839.5</v>
      </c>
      <c r="M6" s="117"/>
      <c r="N6" s="46"/>
      <c r="O6" s="83" t="s">
        <v>145</v>
      </c>
    </row>
    <row r="7" spans="1:15" ht="15.95" customHeight="1" x14ac:dyDescent="0.2">
      <c r="A7" s="25">
        <f t="shared" ref="A7:A59" si="1">A6+1</f>
        <v>3</v>
      </c>
      <c r="B7" s="81" t="s">
        <v>4</v>
      </c>
      <c r="C7" s="82">
        <v>107</v>
      </c>
      <c r="D7" s="82">
        <v>113</v>
      </c>
      <c r="E7" s="82">
        <v>57</v>
      </c>
      <c r="F7" s="82">
        <v>100</v>
      </c>
      <c r="G7" s="82">
        <v>48</v>
      </c>
      <c r="H7" s="82">
        <v>64</v>
      </c>
      <c r="I7" s="82">
        <v>125</v>
      </c>
      <c r="J7" s="82">
        <v>100</v>
      </c>
      <c r="K7" s="82">
        <v>50</v>
      </c>
      <c r="L7" s="28">
        <f t="shared" si="0"/>
        <v>764</v>
      </c>
      <c r="M7" s="161">
        <v>2</v>
      </c>
      <c r="N7" s="45" t="s">
        <v>71</v>
      </c>
      <c r="O7" s="169" t="s">
        <v>89</v>
      </c>
    </row>
    <row r="8" spans="1:15" ht="15.95" customHeight="1" x14ac:dyDescent="0.2">
      <c r="A8" s="33">
        <f t="shared" si="1"/>
        <v>4</v>
      </c>
      <c r="B8" s="79" t="s">
        <v>3</v>
      </c>
      <c r="C8" s="80">
        <v>107</v>
      </c>
      <c r="D8" s="80">
        <v>75</v>
      </c>
      <c r="E8" s="80">
        <v>57</v>
      </c>
      <c r="F8" s="80">
        <v>120</v>
      </c>
      <c r="G8" s="80">
        <v>32</v>
      </c>
      <c r="H8" s="80">
        <v>80</v>
      </c>
      <c r="I8" s="80">
        <v>125</v>
      </c>
      <c r="J8" s="80">
        <v>100</v>
      </c>
      <c r="K8" s="80">
        <v>50</v>
      </c>
      <c r="L8" s="14">
        <f t="shared" si="0"/>
        <v>746</v>
      </c>
      <c r="M8" s="118" t="s">
        <v>128</v>
      </c>
      <c r="N8" s="45"/>
      <c r="O8" s="163" t="s">
        <v>53</v>
      </c>
    </row>
    <row r="9" spans="1:15" ht="15.95" customHeight="1" x14ac:dyDescent="0.2">
      <c r="A9" s="33">
        <f t="shared" si="1"/>
        <v>5</v>
      </c>
      <c r="B9" s="77" t="s">
        <v>11</v>
      </c>
      <c r="C9" s="78">
        <v>93</v>
      </c>
      <c r="D9" s="78">
        <v>75</v>
      </c>
      <c r="E9" s="78">
        <v>69</v>
      </c>
      <c r="F9" s="78">
        <v>100</v>
      </c>
      <c r="G9" s="78">
        <v>48</v>
      </c>
      <c r="H9" s="78">
        <v>64</v>
      </c>
      <c r="I9" s="78">
        <v>100</v>
      </c>
      <c r="J9" s="78">
        <v>100</v>
      </c>
      <c r="K9" s="78">
        <v>87.5</v>
      </c>
      <c r="L9" s="36">
        <f t="shared" si="0"/>
        <v>736.5</v>
      </c>
      <c r="M9" s="118" t="s">
        <v>127</v>
      </c>
      <c r="N9" s="45"/>
      <c r="O9" s="163" t="s">
        <v>146</v>
      </c>
    </row>
    <row r="10" spans="1:15" ht="15.95" customHeight="1" x14ac:dyDescent="0.2">
      <c r="A10" s="33">
        <f t="shared" si="1"/>
        <v>6</v>
      </c>
      <c r="B10" s="77" t="s">
        <v>5</v>
      </c>
      <c r="C10" s="78">
        <v>93</v>
      </c>
      <c r="D10" s="78">
        <v>75</v>
      </c>
      <c r="E10" s="78">
        <v>69</v>
      </c>
      <c r="F10" s="78">
        <v>100</v>
      </c>
      <c r="G10" s="78">
        <v>32</v>
      </c>
      <c r="H10" s="78">
        <v>48</v>
      </c>
      <c r="I10" s="78">
        <v>100</v>
      </c>
      <c r="J10" s="78">
        <v>80</v>
      </c>
      <c r="K10" s="78">
        <v>50</v>
      </c>
      <c r="L10" s="36">
        <f t="shared" si="0"/>
        <v>647</v>
      </c>
      <c r="M10" s="116"/>
      <c r="N10" s="45"/>
      <c r="O10" s="75"/>
    </row>
    <row r="11" spans="1:15" ht="15.95" customHeight="1" x14ac:dyDescent="0.2">
      <c r="A11" s="29">
        <f t="shared" si="1"/>
        <v>7</v>
      </c>
      <c r="B11" s="104" t="s">
        <v>7</v>
      </c>
      <c r="C11" s="86">
        <v>93</v>
      </c>
      <c r="D11" s="86">
        <v>94</v>
      </c>
      <c r="E11" s="86">
        <v>57</v>
      </c>
      <c r="F11" s="86">
        <v>80</v>
      </c>
      <c r="G11" s="86">
        <v>16</v>
      </c>
      <c r="H11" s="86">
        <v>48</v>
      </c>
      <c r="I11" s="86">
        <v>125</v>
      </c>
      <c r="J11" s="86">
        <v>80</v>
      </c>
      <c r="K11" s="86">
        <v>50</v>
      </c>
      <c r="L11" s="19">
        <f t="shared" si="0"/>
        <v>643</v>
      </c>
      <c r="M11" s="119"/>
      <c r="N11" s="113"/>
      <c r="O11" s="74"/>
    </row>
    <row r="12" spans="1:15" ht="15.95" customHeight="1" x14ac:dyDescent="0.2">
      <c r="A12" s="25">
        <f t="shared" si="1"/>
        <v>8</v>
      </c>
      <c r="B12" s="84" t="s">
        <v>10</v>
      </c>
      <c r="C12" s="85">
        <v>93</v>
      </c>
      <c r="D12" s="85">
        <v>75</v>
      </c>
      <c r="E12" s="85">
        <v>57</v>
      </c>
      <c r="F12" s="85">
        <v>80</v>
      </c>
      <c r="G12" s="85">
        <v>32</v>
      </c>
      <c r="H12" s="85">
        <v>48</v>
      </c>
      <c r="I12" s="85">
        <v>125</v>
      </c>
      <c r="J12" s="85">
        <v>80</v>
      </c>
      <c r="K12" s="85">
        <v>50</v>
      </c>
      <c r="L12" s="15">
        <f t="shared" si="0"/>
        <v>640</v>
      </c>
      <c r="M12" s="118">
        <v>3</v>
      </c>
      <c r="N12" s="47" t="s">
        <v>91</v>
      </c>
      <c r="O12" s="169" t="s">
        <v>89</v>
      </c>
    </row>
    <row r="13" spans="1:15" ht="15.95" customHeight="1" x14ac:dyDescent="0.2">
      <c r="A13" s="33">
        <f t="shared" si="1"/>
        <v>9</v>
      </c>
      <c r="B13" s="77" t="s">
        <v>12</v>
      </c>
      <c r="C13" s="78">
        <v>80</v>
      </c>
      <c r="D13" s="78">
        <v>75</v>
      </c>
      <c r="E13" s="78">
        <v>46</v>
      </c>
      <c r="F13" s="78">
        <v>80</v>
      </c>
      <c r="G13" s="78">
        <v>48</v>
      </c>
      <c r="H13" s="78">
        <v>48</v>
      </c>
      <c r="I13" s="78">
        <v>100</v>
      </c>
      <c r="J13" s="78">
        <v>60</v>
      </c>
      <c r="K13" s="78">
        <v>100</v>
      </c>
      <c r="L13" s="36">
        <f t="shared" si="0"/>
        <v>637</v>
      </c>
      <c r="M13" s="118" t="s">
        <v>128</v>
      </c>
      <c r="N13" s="47"/>
      <c r="O13" s="163" t="s">
        <v>53</v>
      </c>
    </row>
    <row r="14" spans="1:15" ht="15.95" customHeight="1" x14ac:dyDescent="0.2">
      <c r="A14" s="33">
        <f t="shared" si="1"/>
        <v>10</v>
      </c>
      <c r="B14" s="77" t="s">
        <v>66</v>
      </c>
      <c r="C14" s="78">
        <v>93</v>
      </c>
      <c r="D14" s="78">
        <v>75</v>
      </c>
      <c r="E14" s="78">
        <v>80</v>
      </c>
      <c r="F14" s="78">
        <v>100</v>
      </c>
      <c r="G14" s="78">
        <v>32</v>
      </c>
      <c r="H14" s="78">
        <v>32</v>
      </c>
      <c r="I14" s="78">
        <v>100</v>
      </c>
      <c r="J14" s="78">
        <v>60</v>
      </c>
      <c r="K14" s="78">
        <v>37.5</v>
      </c>
      <c r="L14" s="36">
        <f t="shared" si="0"/>
        <v>609.5</v>
      </c>
      <c r="N14" s="47"/>
      <c r="O14" s="163" t="s">
        <v>146</v>
      </c>
    </row>
    <row r="15" spans="1:15" ht="15.95" customHeight="1" x14ac:dyDescent="0.2">
      <c r="A15" s="33">
        <f t="shared" si="1"/>
        <v>11</v>
      </c>
      <c r="B15" s="77" t="s">
        <v>6</v>
      </c>
      <c r="C15" s="78">
        <v>93</v>
      </c>
      <c r="D15" s="78">
        <v>94</v>
      </c>
      <c r="E15" s="78">
        <v>46</v>
      </c>
      <c r="F15" s="78">
        <v>80</v>
      </c>
      <c r="G15" s="78">
        <v>16</v>
      </c>
      <c r="H15" s="78">
        <v>48</v>
      </c>
      <c r="I15" s="78">
        <v>100</v>
      </c>
      <c r="J15" s="78">
        <v>80</v>
      </c>
      <c r="K15" s="78">
        <v>50</v>
      </c>
      <c r="L15" s="36">
        <f t="shared" si="0"/>
        <v>607</v>
      </c>
      <c r="M15" s="116"/>
      <c r="N15" s="47"/>
      <c r="O15" s="164"/>
    </row>
    <row r="16" spans="1:15" ht="15.95" customHeight="1" x14ac:dyDescent="0.2">
      <c r="A16" s="33">
        <f t="shared" si="1"/>
        <v>12</v>
      </c>
      <c r="B16" s="77" t="s">
        <v>9</v>
      </c>
      <c r="C16" s="78">
        <v>93</v>
      </c>
      <c r="D16" s="78">
        <v>75</v>
      </c>
      <c r="E16" s="78">
        <v>69</v>
      </c>
      <c r="F16" s="78">
        <v>80</v>
      </c>
      <c r="G16" s="78">
        <v>16</v>
      </c>
      <c r="H16" s="78">
        <v>32</v>
      </c>
      <c r="I16" s="78">
        <v>125</v>
      </c>
      <c r="J16" s="78">
        <v>60</v>
      </c>
      <c r="K16" s="78">
        <v>50</v>
      </c>
      <c r="L16" s="36">
        <f t="shared" si="0"/>
        <v>600</v>
      </c>
      <c r="N16" s="47"/>
      <c r="O16" s="164"/>
    </row>
    <row r="17" spans="1:15" ht="15.95" customHeight="1" x14ac:dyDescent="0.2">
      <c r="A17" s="29">
        <f t="shared" si="1"/>
        <v>13</v>
      </c>
      <c r="B17" s="104" t="s">
        <v>8</v>
      </c>
      <c r="C17" s="86">
        <v>93</v>
      </c>
      <c r="D17" s="86">
        <v>56</v>
      </c>
      <c r="E17" s="86">
        <v>57</v>
      </c>
      <c r="F17" s="86">
        <v>60</v>
      </c>
      <c r="G17" s="86">
        <v>48</v>
      </c>
      <c r="H17" s="86">
        <v>48</v>
      </c>
      <c r="I17" s="86">
        <v>100</v>
      </c>
      <c r="J17" s="86">
        <v>80</v>
      </c>
      <c r="K17" s="86">
        <v>50</v>
      </c>
      <c r="L17" s="19">
        <f t="shared" si="0"/>
        <v>592</v>
      </c>
      <c r="M17" s="117"/>
      <c r="N17" s="48"/>
      <c r="O17" s="165"/>
    </row>
    <row r="18" spans="1:15" ht="15.95" customHeight="1" x14ac:dyDescent="0.2">
      <c r="A18" s="25">
        <f t="shared" si="1"/>
        <v>14</v>
      </c>
      <c r="B18" s="81" t="s">
        <v>117</v>
      </c>
      <c r="C18" s="82">
        <v>93</v>
      </c>
      <c r="D18" s="82">
        <v>19</v>
      </c>
      <c r="E18" s="82">
        <v>34</v>
      </c>
      <c r="F18" s="82">
        <v>100</v>
      </c>
      <c r="G18" s="82">
        <v>32</v>
      </c>
      <c r="H18" s="82">
        <v>48</v>
      </c>
      <c r="I18" s="82">
        <v>100</v>
      </c>
      <c r="J18" s="82">
        <v>100</v>
      </c>
      <c r="K18" s="82">
        <v>50</v>
      </c>
      <c r="L18" s="28">
        <f t="shared" si="0"/>
        <v>576</v>
      </c>
      <c r="M18" s="116">
        <v>4</v>
      </c>
      <c r="N18" s="47"/>
      <c r="O18" s="169" t="s">
        <v>89</v>
      </c>
    </row>
    <row r="19" spans="1:15" ht="15.95" customHeight="1" x14ac:dyDescent="0.2">
      <c r="A19" s="33">
        <f t="shared" si="1"/>
        <v>15</v>
      </c>
      <c r="B19" s="79" t="s">
        <v>13</v>
      </c>
      <c r="C19" s="80">
        <v>80</v>
      </c>
      <c r="D19" s="80">
        <v>38</v>
      </c>
      <c r="E19" s="80">
        <v>34</v>
      </c>
      <c r="F19" s="80">
        <v>60</v>
      </c>
      <c r="G19" s="80">
        <v>80</v>
      </c>
      <c r="H19" s="80">
        <v>48</v>
      </c>
      <c r="I19" s="80">
        <v>75</v>
      </c>
      <c r="J19" s="80">
        <v>60</v>
      </c>
      <c r="K19" s="80">
        <v>25</v>
      </c>
      <c r="L19" s="14">
        <f t="shared" si="0"/>
        <v>500</v>
      </c>
      <c r="M19" s="118" t="s">
        <v>126</v>
      </c>
      <c r="N19" s="47"/>
      <c r="O19" s="163" t="s">
        <v>53</v>
      </c>
    </row>
    <row r="20" spans="1:15" ht="15.95" customHeight="1" x14ac:dyDescent="0.2">
      <c r="A20" s="33">
        <f t="shared" si="1"/>
        <v>16</v>
      </c>
      <c r="B20" s="79" t="s">
        <v>17</v>
      </c>
      <c r="C20" s="80">
        <v>67</v>
      </c>
      <c r="D20" s="80">
        <v>38</v>
      </c>
      <c r="E20" s="80">
        <v>34</v>
      </c>
      <c r="F20" s="80">
        <v>60</v>
      </c>
      <c r="G20" s="80">
        <v>64</v>
      </c>
      <c r="H20" s="80">
        <v>48</v>
      </c>
      <c r="I20" s="80">
        <v>75</v>
      </c>
      <c r="J20" s="80">
        <v>60</v>
      </c>
      <c r="K20" s="80">
        <v>37.5</v>
      </c>
      <c r="L20" s="14">
        <f t="shared" si="0"/>
        <v>483.5</v>
      </c>
      <c r="M20" s="118" t="s">
        <v>127</v>
      </c>
      <c r="N20" s="47"/>
      <c r="O20" s="163" t="s">
        <v>54</v>
      </c>
    </row>
    <row r="21" spans="1:15" ht="15.95" customHeight="1" x14ac:dyDescent="0.2">
      <c r="A21" s="33">
        <f t="shared" si="1"/>
        <v>17</v>
      </c>
      <c r="B21" s="79" t="s">
        <v>38</v>
      </c>
      <c r="C21" s="80">
        <v>67</v>
      </c>
      <c r="D21" s="80">
        <v>38</v>
      </c>
      <c r="E21" s="80">
        <v>46</v>
      </c>
      <c r="F21" s="80">
        <v>80</v>
      </c>
      <c r="G21" s="80">
        <v>32</v>
      </c>
      <c r="H21" s="80">
        <v>32</v>
      </c>
      <c r="I21" s="80">
        <v>75</v>
      </c>
      <c r="J21" s="80">
        <v>60</v>
      </c>
      <c r="K21" s="80">
        <v>37.5</v>
      </c>
      <c r="L21" s="14">
        <f t="shared" si="0"/>
        <v>467.5</v>
      </c>
      <c r="M21" s="116"/>
      <c r="N21" s="112"/>
      <c r="O21" s="75"/>
    </row>
    <row r="22" spans="1:15" ht="15.95" customHeight="1" x14ac:dyDescent="0.2">
      <c r="A22" s="29">
        <f t="shared" si="1"/>
        <v>18</v>
      </c>
      <c r="B22" s="104" t="s">
        <v>39</v>
      </c>
      <c r="C22" s="86">
        <v>67</v>
      </c>
      <c r="D22" s="86">
        <v>38</v>
      </c>
      <c r="E22" s="86">
        <v>46</v>
      </c>
      <c r="F22" s="86">
        <v>80</v>
      </c>
      <c r="G22" s="86">
        <v>16</v>
      </c>
      <c r="H22" s="86">
        <v>32</v>
      </c>
      <c r="I22" s="86">
        <v>75</v>
      </c>
      <c r="J22" s="86">
        <v>60</v>
      </c>
      <c r="K22" s="86">
        <v>37.5</v>
      </c>
      <c r="L22" s="19">
        <f t="shared" si="0"/>
        <v>451.5</v>
      </c>
      <c r="M22" s="117"/>
      <c r="N22" s="113"/>
      <c r="O22" s="74"/>
    </row>
    <row r="23" spans="1:15" ht="15.95" customHeight="1" x14ac:dyDescent="0.2">
      <c r="A23" s="25">
        <f t="shared" si="1"/>
        <v>19</v>
      </c>
      <c r="B23" s="84" t="s">
        <v>121</v>
      </c>
      <c r="C23" s="85">
        <v>67</v>
      </c>
      <c r="D23" s="85">
        <v>38</v>
      </c>
      <c r="E23" s="85">
        <v>34</v>
      </c>
      <c r="F23" s="85">
        <v>60</v>
      </c>
      <c r="G23" s="85">
        <v>48</v>
      </c>
      <c r="H23" s="85">
        <v>32</v>
      </c>
      <c r="I23" s="85">
        <v>75</v>
      </c>
      <c r="J23" s="85">
        <v>60</v>
      </c>
      <c r="K23" s="85">
        <v>25</v>
      </c>
      <c r="L23" s="15">
        <f t="shared" si="0"/>
        <v>439</v>
      </c>
      <c r="M23" s="118">
        <v>5</v>
      </c>
      <c r="N23" s="112"/>
      <c r="O23" s="163" t="s">
        <v>90</v>
      </c>
    </row>
    <row r="24" spans="1:15" ht="15.95" customHeight="1" x14ac:dyDescent="0.2">
      <c r="A24" s="33">
        <f t="shared" si="1"/>
        <v>20</v>
      </c>
      <c r="B24" s="79" t="s">
        <v>119</v>
      </c>
      <c r="C24" s="80">
        <v>67</v>
      </c>
      <c r="D24" s="80">
        <v>38</v>
      </c>
      <c r="E24" s="80">
        <v>46</v>
      </c>
      <c r="F24" s="80">
        <v>60</v>
      </c>
      <c r="G24" s="80">
        <v>48</v>
      </c>
      <c r="H24" s="80">
        <v>32</v>
      </c>
      <c r="I24" s="80">
        <v>50</v>
      </c>
      <c r="J24" s="80">
        <v>60</v>
      </c>
      <c r="K24" s="80">
        <v>25</v>
      </c>
      <c r="L24" s="14">
        <f t="shared" si="0"/>
        <v>426</v>
      </c>
      <c r="M24" s="118" t="s">
        <v>126</v>
      </c>
      <c r="N24" s="47"/>
      <c r="O24" s="163" t="s">
        <v>53</v>
      </c>
    </row>
    <row r="25" spans="1:15" ht="15.95" customHeight="1" x14ac:dyDescent="0.2">
      <c r="A25" s="33">
        <f t="shared" si="1"/>
        <v>21</v>
      </c>
      <c r="B25" s="79" t="s">
        <v>118</v>
      </c>
      <c r="C25" s="80">
        <v>67</v>
      </c>
      <c r="D25" s="80">
        <v>38</v>
      </c>
      <c r="E25" s="80">
        <v>46</v>
      </c>
      <c r="F25" s="80">
        <v>60</v>
      </c>
      <c r="G25" s="80">
        <v>48</v>
      </c>
      <c r="H25" s="80">
        <v>32</v>
      </c>
      <c r="I25" s="80">
        <v>50</v>
      </c>
      <c r="J25" s="80">
        <v>60</v>
      </c>
      <c r="K25" s="80">
        <v>25</v>
      </c>
      <c r="L25" s="14">
        <f t="shared" si="0"/>
        <v>426</v>
      </c>
      <c r="N25" s="47"/>
      <c r="O25" s="163" t="s">
        <v>92</v>
      </c>
    </row>
    <row r="26" spans="1:15" ht="15.95" customHeight="1" x14ac:dyDescent="0.2">
      <c r="A26" s="33">
        <f t="shared" si="1"/>
        <v>22</v>
      </c>
      <c r="B26" s="79" t="s">
        <v>16</v>
      </c>
      <c r="C26" s="80">
        <v>67</v>
      </c>
      <c r="D26" s="80">
        <v>38</v>
      </c>
      <c r="E26" s="80">
        <v>34</v>
      </c>
      <c r="F26" s="80">
        <v>60</v>
      </c>
      <c r="G26" s="80">
        <v>32</v>
      </c>
      <c r="H26" s="80">
        <v>32</v>
      </c>
      <c r="I26" s="80">
        <v>75</v>
      </c>
      <c r="J26" s="80">
        <v>60</v>
      </c>
      <c r="K26" s="80">
        <v>25</v>
      </c>
      <c r="L26" s="14">
        <f t="shared" si="0"/>
        <v>423</v>
      </c>
      <c r="N26" s="47"/>
      <c r="O26" s="75"/>
    </row>
    <row r="27" spans="1:15" ht="15.95" customHeight="1" x14ac:dyDescent="0.2">
      <c r="A27" s="33">
        <f t="shared" si="1"/>
        <v>23</v>
      </c>
      <c r="B27" s="77" t="s">
        <v>24</v>
      </c>
      <c r="C27" s="78">
        <v>67</v>
      </c>
      <c r="D27" s="78">
        <v>38</v>
      </c>
      <c r="E27" s="78">
        <v>46</v>
      </c>
      <c r="F27" s="78">
        <v>40</v>
      </c>
      <c r="G27" s="78">
        <v>80</v>
      </c>
      <c r="H27" s="78">
        <v>32</v>
      </c>
      <c r="I27" s="78">
        <v>75</v>
      </c>
      <c r="J27" s="78">
        <v>20</v>
      </c>
      <c r="K27" s="78">
        <v>25</v>
      </c>
      <c r="L27" s="36">
        <f t="shared" si="0"/>
        <v>423</v>
      </c>
      <c r="M27" s="116"/>
      <c r="N27" s="47"/>
      <c r="O27" s="75"/>
    </row>
    <row r="28" spans="1:15" ht="15.95" customHeight="1" x14ac:dyDescent="0.2">
      <c r="A28" s="33">
        <f t="shared" si="1"/>
        <v>24</v>
      </c>
      <c r="B28" s="79" t="s">
        <v>15</v>
      </c>
      <c r="C28" s="80">
        <v>67</v>
      </c>
      <c r="D28" s="80">
        <v>38</v>
      </c>
      <c r="E28" s="80">
        <v>34</v>
      </c>
      <c r="F28" s="80">
        <v>60</v>
      </c>
      <c r="G28" s="80">
        <v>16</v>
      </c>
      <c r="H28" s="80">
        <v>32</v>
      </c>
      <c r="I28" s="80">
        <v>75</v>
      </c>
      <c r="J28" s="80">
        <v>60</v>
      </c>
      <c r="K28" s="80">
        <v>37.5</v>
      </c>
      <c r="L28" s="14">
        <f t="shared" si="0"/>
        <v>419.5</v>
      </c>
      <c r="N28" s="47"/>
      <c r="O28" s="75"/>
    </row>
    <row r="29" spans="1:15" ht="15.95" customHeight="1" x14ac:dyDescent="0.2">
      <c r="A29" s="33">
        <f t="shared" si="1"/>
        <v>25</v>
      </c>
      <c r="B29" s="77" t="s">
        <v>65</v>
      </c>
      <c r="C29" s="78">
        <v>80</v>
      </c>
      <c r="D29" s="78">
        <v>19</v>
      </c>
      <c r="E29" s="78">
        <v>80</v>
      </c>
      <c r="F29" s="78">
        <v>60</v>
      </c>
      <c r="G29" s="78">
        <v>32</v>
      </c>
      <c r="H29" s="78">
        <v>16</v>
      </c>
      <c r="I29" s="78">
        <v>100</v>
      </c>
      <c r="J29" s="78">
        <v>20</v>
      </c>
      <c r="K29" s="78">
        <v>12.5</v>
      </c>
      <c r="L29" s="36">
        <f t="shared" si="0"/>
        <v>419.5</v>
      </c>
      <c r="N29" s="47"/>
      <c r="O29" s="75"/>
    </row>
    <row r="30" spans="1:15" ht="15.95" customHeight="1" x14ac:dyDescent="0.2">
      <c r="A30" s="33">
        <f t="shared" si="1"/>
        <v>26</v>
      </c>
      <c r="B30" s="79" t="s">
        <v>72</v>
      </c>
      <c r="C30" s="80">
        <v>67</v>
      </c>
      <c r="D30" s="80">
        <v>38</v>
      </c>
      <c r="E30" s="80">
        <v>34</v>
      </c>
      <c r="F30" s="80">
        <v>40</v>
      </c>
      <c r="G30" s="80">
        <v>64</v>
      </c>
      <c r="H30" s="80">
        <v>32</v>
      </c>
      <c r="I30" s="80">
        <v>50</v>
      </c>
      <c r="J30" s="80">
        <v>60</v>
      </c>
      <c r="K30" s="80">
        <v>25</v>
      </c>
      <c r="L30" s="14">
        <f t="shared" si="0"/>
        <v>410</v>
      </c>
      <c r="N30" s="47"/>
      <c r="O30" s="75"/>
    </row>
    <row r="31" spans="1:15" ht="15.95" customHeight="1" x14ac:dyDescent="0.2">
      <c r="A31" s="33">
        <f t="shared" si="1"/>
        <v>27</v>
      </c>
      <c r="B31" s="79" t="s">
        <v>14</v>
      </c>
      <c r="C31" s="80">
        <v>67</v>
      </c>
      <c r="D31" s="80">
        <v>38</v>
      </c>
      <c r="E31" s="80">
        <v>34</v>
      </c>
      <c r="F31" s="80">
        <v>60</v>
      </c>
      <c r="G31" s="80">
        <v>16</v>
      </c>
      <c r="H31" s="80">
        <v>32</v>
      </c>
      <c r="I31" s="80">
        <v>75</v>
      </c>
      <c r="J31" s="80">
        <v>60</v>
      </c>
      <c r="K31" s="80">
        <v>25</v>
      </c>
      <c r="L31" s="14">
        <f t="shared" si="0"/>
        <v>407</v>
      </c>
      <c r="N31" s="47"/>
      <c r="O31" s="75"/>
    </row>
    <row r="32" spans="1:15" ht="15.95" customHeight="1" x14ac:dyDescent="0.2">
      <c r="A32" s="29">
        <f t="shared" si="1"/>
        <v>28</v>
      </c>
      <c r="B32" s="104" t="s">
        <v>73</v>
      </c>
      <c r="C32" s="86">
        <v>40</v>
      </c>
      <c r="D32" s="86">
        <v>38</v>
      </c>
      <c r="E32" s="86">
        <v>34</v>
      </c>
      <c r="F32" s="86">
        <v>60</v>
      </c>
      <c r="G32" s="86">
        <v>32</v>
      </c>
      <c r="H32" s="86">
        <v>32</v>
      </c>
      <c r="I32" s="86">
        <v>50</v>
      </c>
      <c r="J32" s="86">
        <v>60</v>
      </c>
      <c r="K32" s="86">
        <v>25</v>
      </c>
      <c r="L32" s="19">
        <f t="shared" si="0"/>
        <v>371</v>
      </c>
      <c r="M32" s="156"/>
      <c r="N32" s="48"/>
      <c r="O32" s="74"/>
    </row>
    <row r="33" spans="1:15" ht="15.95" customHeight="1" x14ac:dyDescent="0.2">
      <c r="A33" s="87">
        <f>A32+1</f>
        <v>29</v>
      </c>
      <c r="B33" s="88" t="s">
        <v>120</v>
      </c>
      <c r="C33" s="89">
        <v>67</v>
      </c>
      <c r="D33" s="89">
        <v>19</v>
      </c>
      <c r="E33" s="89">
        <v>11</v>
      </c>
      <c r="F33" s="89">
        <v>60</v>
      </c>
      <c r="G33" s="89">
        <v>32</v>
      </c>
      <c r="H33" s="89">
        <v>16</v>
      </c>
      <c r="I33" s="89">
        <v>75</v>
      </c>
      <c r="J33" s="89">
        <v>40</v>
      </c>
      <c r="K33" s="89">
        <v>12.5</v>
      </c>
      <c r="L33" s="90">
        <f t="shared" si="0"/>
        <v>332.5</v>
      </c>
      <c r="M33" s="118">
        <v>6</v>
      </c>
      <c r="N33" s="47"/>
      <c r="O33" s="163" t="s">
        <v>90</v>
      </c>
    </row>
    <row r="34" spans="1:15" ht="15.95" customHeight="1" x14ac:dyDescent="0.2">
      <c r="A34" s="33">
        <f t="shared" si="1"/>
        <v>30</v>
      </c>
      <c r="B34" s="77" t="s">
        <v>122</v>
      </c>
      <c r="C34" s="78">
        <v>67</v>
      </c>
      <c r="D34" s="78">
        <v>19</v>
      </c>
      <c r="E34" s="78">
        <v>11</v>
      </c>
      <c r="F34" s="78">
        <v>60</v>
      </c>
      <c r="G34" s="78">
        <v>32</v>
      </c>
      <c r="H34" s="78">
        <v>16</v>
      </c>
      <c r="I34" s="78">
        <v>75</v>
      </c>
      <c r="J34" s="78">
        <v>40</v>
      </c>
      <c r="K34" s="78">
        <v>12.5</v>
      </c>
      <c r="L34" s="36">
        <f t="shared" si="0"/>
        <v>332.5</v>
      </c>
      <c r="M34" s="118" t="s">
        <v>129</v>
      </c>
      <c r="N34" s="112"/>
      <c r="O34" s="163" t="s">
        <v>53</v>
      </c>
    </row>
    <row r="35" spans="1:15" ht="15.95" customHeight="1" x14ac:dyDescent="0.2">
      <c r="A35" s="33">
        <f t="shared" si="1"/>
        <v>31</v>
      </c>
      <c r="B35" s="77" t="s">
        <v>23</v>
      </c>
      <c r="C35" s="78">
        <v>40</v>
      </c>
      <c r="D35" s="78">
        <v>19</v>
      </c>
      <c r="E35" s="78">
        <v>11</v>
      </c>
      <c r="F35" s="78">
        <v>40</v>
      </c>
      <c r="G35" s="78">
        <v>80</v>
      </c>
      <c r="H35" s="78">
        <v>32</v>
      </c>
      <c r="I35" s="78">
        <v>50</v>
      </c>
      <c r="J35" s="78">
        <v>40</v>
      </c>
      <c r="K35" s="78">
        <v>12.5</v>
      </c>
      <c r="L35" s="36">
        <f t="shared" si="0"/>
        <v>324.5</v>
      </c>
      <c r="N35" s="112"/>
      <c r="O35" s="163" t="s">
        <v>147</v>
      </c>
    </row>
    <row r="36" spans="1:15" ht="15.95" customHeight="1" x14ac:dyDescent="0.2">
      <c r="A36" s="33">
        <f t="shared" si="1"/>
        <v>32</v>
      </c>
      <c r="B36" s="77" t="s">
        <v>21</v>
      </c>
      <c r="C36" s="78">
        <v>40</v>
      </c>
      <c r="D36" s="78">
        <v>19</v>
      </c>
      <c r="E36" s="78">
        <v>23</v>
      </c>
      <c r="F36" s="78">
        <v>40</v>
      </c>
      <c r="G36" s="78">
        <v>48</v>
      </c>
      <c r="H36" s="78">
        <v>16</v>
      </c>
      <c r="I36" s="78">
        <v>75</v>
      </c>
      <c r="J36" s="78">
        <v>40</v>
      </c>
      <c r="K36" s="78">
        <v>12.5</v>
      </c>
      <c r="L36" s="36">
        <f t="shared" si="0"/>
        <v>313.5</v>
      </c>
      <c r="M36" s="116"/>
      <c r="N36" s="112"/>
      <c r="O36" s="75"/>
    </row>
    <row r="37" spans="1:15" ht="15.95" customHeight="1" x14ac:dyDescent="0.2">
      <c r="A37" s="33">
        <f t="shared" si="1"/>
        <v>33</v>
      </c>
      <c r="B37" s="79" t="s">
        <v>20</v>
      </c>
      <c r="C37" s="80">
        <v>40</v>
      </c>
      <c r="D37" s="80">
        <v>19</v>
      </c>
      <c r="E37" s="80">
        <v>11</v>
      </c>
      <c r="F37" s="80">
        <v>40</v>
      </c>
      <c r="G37" s="80">
        <v>32</v>
      </c>
      <c r="H37" s="80">
        <v>16</v>
      </c>
      <c r="I37" s="80">
        <v>25</v>
      </c>
      <c r="J37" s="80">
        <v>40</v>
      </c>
      <c r="K37" s="80">
        <v>12.5</v>
      </c>
      <c r="L37" s="14">
        <f t="shared" si="0"/>
        <v>235.5</v>
      </c>
      <c r="N37" s="170"/>
      <c r="O37" s="160"/>
    </row>
    <row r="38" spans="1:15" ht="15.95" customHeight="1" x14ac:dyDescent="0.2">
      <c r="A38" s="33">
        <f t="shared" si="1"/>
        <v>34</v>
      </c>
      <c r="B38" s="79" t="s">
        <v>123</v>
      </c>
      <c r="C38" s="80">
        <v>67</v>
      </c>
      <c r="D38" s="80">
        <v>19</v>
      </c>
      <c r="E38" s="80">
        <v>11</v>
      </c>
      <c r="F38" s="80">
        <v>20</v>
      </c>
      <c r="G38" s="80">
        <v>16</v>
      </c>
      <c r="H38" s="80">
        <v>16</v>
      </c>
      <c r="I38" s="80">
        <v>25</v>
      </c>
      <c r="J38" s="80">
        <v>40</v>
      </c>
      <c r="K38" s="80">
        <v>12.5</v>
      </c>
      <c r="L38" s="14">
        <f t="shared" si="0"/>
        <v>226.5</v>
      </c>
      <c r="N38" s="170"/>
      <c r="O38" s="164"/>
    </row>
    <row r="39" spans="1:15" ht="15.95" customHeight="1" x14ac:dyDescent="0.2">
      <c r="A39" s="33">
        <f t="shared" si="1"/>
        <v>35</v>
      </c>
      <c r="B39" s="79" t="s">
        <v>74</v>
      </c>
      <c r="C39" s="80">
        <v>67</v>
      </c>
      <c r="D39" s="80">
        <v>19</v>
      </c>
      <c r="E39" s="80">
        <v>11</v>
      </c>
      <c r="F39" s="80">
        <v>20</v>
      </c>
      <c r="G39" s="80">
        <v>16</v>
      </c>
      <c r="H39" s="80">
        <v>16</v>
      </c>
      <c r="I39" s="80">
        <v>25</v>
      </c>
      <c r="J39" s="80">
        <v>40</v>
      </c>
      <c r="K39" s="80">
        <v>12.5</v>
      </c>
      <c r="L39" s="14">
        <f t="shared" si="0"/>
        <v>226.5</v>
      </c>
      <c r="N39" s="45"/>
      <c r="O39" s="160"/>
    </row>
    <row r="40" spans="1:15" ht="15.95" customHeight="1" x14ac:dyDescent="0.2">
      <c r="A40" s="33">
        <f t="shared" si="1"/>
        <v>36</v>
      </c>
      <c r="B40" s="79" t="s">
        <v>22</v>
      </c>
      <c r="C40" s="80">
        <v>40</v>
      </c>
      <c r="D40" s="80">
        <v>19</v>
      </c>
      <c r="E40" s="80">
        <v>11</v>
      </c>
      <c r="F40" s="80">
        <v>40</v>
      </c>
      <c r="G40" s="80">
        <v>16</v>
      </c>
      <c r="H40" s="80">
        <v>16</v>
      </c>
      <c r="I40" s="80">
        <v>25</v>
      </c>
      <c r="J40" s="80">
        <v>40</v>
      </c>
      <c r="K40" s="80">
        <v>12.5</v>
      </c>
      <c r="L40" s="14">
        <f t="shared" si="0"/>
        <v>219.5</v>
      </c>
      <c r="M40" s="116"/>
      <c r="N40" s="45"/>
      <c r="O40" s="160"/>
    </row>
    <row r="41" spans="1:15" ht="15.95" customHeight="1" x14ac:dyDescent="0.2">
      <c r="A41" s="33">
        <f t="shared" si="1"/>
        <v>37</v>
      </c>
      <c r="B41" s="79" t="s">
        <v>19</v>
      </c>
      <c r="C41" s="80">
        <v>40</v>
      </c>
      <c r="D41" s="80">
        <v>19</v>
      </c>
      <c r="E41" s="80">
        <v>11</v>
      </c>
      <c r="F41" s="80">
        <v>20</v>
      </c>
      <c r="G41" s="80">
        <v>16</v>
      </c>
      <c r="H41" s="80">
        <v>16</v>
      </c>
      <c r="I41" s="80">
        <v>25</v>
      </c>
      <c r="J41" s="80">
        <v>60</v>
      </c>
      <c r="K41" s="80">
        <v>12.5</v>
      </c>
      <c r="L41" s="14">
        <f t="shared" si="0"/>
        <v>219.5</v>
      </c>
      <c r="N41" s="47"/>
      <c r="O41" s="75"/>
    </row>
    <row r="42" spans="1:15" ht="15.95" customHeight="1" x14ac:dyDescent="0.2">
      <c r="A42" s="33">
        <f t="shared" si="1"/>
        <v>38</v>
      </c>
      <c r="B42" s="79" t="s">
        <v>124</v>
      </c>
      <c r="C42" s="80">
        <v>40</v>
      </c>
      <c r="D42" s="80">
        <v>19</v>
      </c>
      <c r="E42" s="80">
        <v>11</v>
      </c>
      <c r="F42" s="80">
        <v>20</v>
      </c>
      <c r="G42" s="80">
        <v>32</v>
      </c>
      <c r="H42" s="80">
        <v>16</v>
      </c>
      <c r="I42" s="80">
        <v>25</v>
      </c>
      <c r="J42" s="80">
        <v>40</v>
      </c>
      <c r="K42" s="80">
        <v>12.5</v>
      </c>
      <c r="L42" s="14">
        <f t="shared" si="0"/>
        <v>215.5</v>
      </c>
      <c r="N42" s="47"/>
      <c r="O42" s="166"/>
    </row>
    <row r="43" spans="1:15" ht="15.95" customHeight="1" x14ac:dyDescent="0.2">
      <c r="A43" s="33">
        <f t="shared" si="1"/>
        <v>39</v>
      </c>
      <c r="B43" s="79" t="s">
        <v>125</v>
      </c>
      <c r="C43" s="80">
        <v>40</v>
      </c>
      <c r="D43" s="80">
        <v>19</v>
      </c>
      <c r="E43" s="80">
        <v>11</v>
      </c>
      <c r="F43" s="80">
        <v>20</v>
      </c>
      <c r="G43" s="80">
        <v>32</v>
      </c>
      <c r="H43" s="80">
        <v>16</v>
      </c>
      <c r="I43" s="80">
        <v>25</v>
      </c>
      <c r="J43" s="80">
        <v>40</v>
      </c>
      <c r="K43" s="80">
        <v>12.5</v>
      </c>
      <c r="L43" s="14">
        <f t="shared" si="0"/>
        <v>215.5</v>
      </c>
      <c r="N43" s="47"/>
      <c r="O43" s="166"/>
    </row>
    <row r="44" spans="1:15" ht="15.95" customHeight="1" x14ac:dyDescent="0.2">
      <c r="A44" s="33">
        <f t="shared" si="1"/>
        <v>40</v>
      </c>
      <c r="B44" s="79" t="s">
        <v>40</v>
      </c>
      <c r="C44" s="80">
        <v>40</v>
      </c>
      <c r="D44" s="80">
        <v>19</v>
      </c>
      <c r="E44" s="80">
        <v>11</v>
      </c>
      <c r="F44" s="80">
        <v>20</v>
      </c>
      <c r="G44" s="80">
        <v>16</v>
      </c>
      <c r="H44" s="80">
        <v>16</v>
      </c>
      <c r="I44" s="80">
        <v>25</v>
      </c>
      <c r="J44" s="80">
        <v>40</v>
      </c>
      <c r="K44" s="80">
        <v>12.5</v>
      </c>
      <c r="L44" s="14">
        <f t="shared" si="0"/>
        <v>199.5</v>
      </c>
      <c r="N44" s="47"/>
      <c r="O44" s="166"/>
    </row>
    <row r="45" spans="1:15" ht="15.95" customHeight="1" x14ac:dyDescent="0.2">
      <c r="A45" s="29">
        <f t="shared" si="1"/>
        <v>41</v>
      </c>
      <c r="B45" s="104" t="s">
        <v>18</v>
      </c>
      <c r="C45" s="86">
        <v>40</v>
      </c>
      <c r="D45" s="86">
        <v>19</v>
      </c>
      <c r="E45" s="86">
        <v>23</v>
      </c>
      <c r="F45" s="86">
        <v>20</v>
      </c>
      <c r="G45" s="86">
        <v>16</v>
      </c>
      <c r="H45" s="86">
        <v>16</v>
      </c>
      <c r="I45" s="86">
        <v>25</v>
      </c>
      <c r="J45" s="86">
        <v>20</v>
      </c>
      <c r="K45" s="86">
        <v>12.5</v>
      </c>
      <c r="L45" s="19">
        <f t="shared" si="0"/>
        <v>191.5</v>
      </c>
      <c r="M45" s="153"/>
      <c r="N45" s="48"/>
      <c r="O45" s="74"/>
    </row>
    <row r="46" spans="1:15" ht="15.95" customHeight="1" x14ac:dyDescent="0.2">
      <c r="A46" s="25">
        <f t="shared" si="1"/>
        <v>42</v>
      </c>
      <c r="B46" s="81" t="s">
        <v>56</v>
      </c>
      <c r="C46" s="85">
        <v>40</v>
      </c>
      <c r="D46" s="85">
        <v>19</v>
      </c>
      <c r="E46" s="85">
        <v>11</v>
      </c>
      <c r="F46" s="85">
        <v>20</v>
      </c>
      <c r="G46" s="85">
        <v>16</v>
      </c>
      <c r="H46" s="85">
        <v>16</v>
      </c>
      <c r="I46" s="85">
        <v>25</v>
      </c>
      <c r="J46" s="85">
        <v>20</v>
      </c>
      <c r="K46" s="85">
        <v>12.5</v>
      </c>
      <c r="L46" s="15"/>
      <c r="M46" s="118">
        <v>7</v>
      </c>
      <c r="N46" s="47"/>
      <c r="O46" s="163" t="s">
        <v>90</v>
      </c>
    </row>
    <row r="47" spans="1:15" ht="15.95" customHeight="1" x14ac:dyDescent="0.2">
      <c r="A47" s="33">
        <f t="shared" si="1"/>
        <v>43</v>
      </c>
      <c r="B47" s="77" t="s">
        <v>130</v>
      </c>
      <c r="C47" s="80"/>
      <c r="D47" s="80"/>
      <c r="E47" s="80"/>
      <c r="F47" s="80"/>
      <c r="G47" s="80"/>
      <c r="H47" s="80"/>
      <c r="I47" s="80"/>
      <c r="J47" s="80"/>
      <c r="K47" s="80"/>
      <c r="L47" s="14"/>
      <c r="M47" s="118" t="s">
        <v>129</v>
      </c>
      <c r="N47" s="47"/>
      <c r="O47" s="163" t="s">
        <v>53</v>
      </c>
    </row>
    <row r="48" spans="1:15" ht="15.95" customHeight="1" x14ac:dyDescent="0.2">
      <c r="A48" s="33">
        <f t="shared" si="1"/>
        <v>44</v>
      </c>
      <c r="B48" s="77" t="s">
        <v>131</v>
      </c>
      <c r="C48" s="80"/>
      <c r="D48" s="80"/>
      <c r="E48" s="80"/>
      <c r="F48" s="80"/>
      <c r="G48" s="80"/>
      <c r="H48" s="80"/>
      <c r="I48" s="80"/>
      <c r="J48" s="80"/>
      <c r="K48" s="80"/>
      <c r="L48" s="14"/>
      <c r="M48" s="118" t="s">
        <v>143</v>
      </c>
      <c r="N48" s="47"/>
      <c r="O48" s="163" t="s">
        <v>147</v>
      </c>
    </row>
    <row r="49" spans="1:15" ht="15.95" customHeight="1" x14ac:dyDescent="0.2">
      <c r="A49" s="33">
        <f t="shared" si="1"/>
        <v>45</v>
      </c>
      <c r="B49" s="77" t="s">
        <v>132</v>
      </c>
      <c r="C49" s="80"/>
      <c r="D49" s="80"/>
      <c r="E49" s="80"/>
      <c r="F49" s="80"/>
      <c r="G49" s="80"/>
      <c r="H49" s="80"/>
      <c r="I49" s="80"/>
      <c r="J49" s="80"/>
      <c r="K49" s="80"/>
      <c r="L49" s="14"/>
      <c r="N49" s="47"/>
      <c r="O49" s="75"/>
    </row>
    <row r="50" spans="1:15" ht="15.95" customHeight="1" x14ac:dyDescent="0.2">
      <c r="A50" s="33">
        <f t="shared" si="1"/>
        <v>46</v>
      </c>
      <c r="B50" s="77" t="s">
        <v>133</v>
      </c>
      <c r="C50" s="80"/>
      <c r="D50" s="80"/>
      <c r="E50" s="80"/>
      <c r="F50" s="80"/>
      <c r="G50" s="80"/>
      <c r="H50" s="80"/>
      <c r="I50" s="80"/>
      <c r="J50" s="80"/>
      <c r="K50" s="80"/>
      <c r="L50" s="14"/>
      <c r="N50" s="47"/>
      <c r="O50" s="75"/>
    </row>
    <row r="51" spans="1:15" ht="15.95" customHeight="1" x14ac:dyDescent="0.2">
      <c r="A51" s="33">
        <f t="shared" si="1"/>
        <v>47</v>
      </c>
      <c r="B51" s="79" t="s">
        <v>134</v>
      </c>
      <c r="C51" s="129"/>
      <c r="D51" s="129"/>
      <c r="E51" s="129"/>
      <c r="F51" s="129"/>
      <c r="G51" s="129"/>
      <c r="H51" s="129"/>
      <c r="I51" s="129"/>
      <c r="J51" s="129"/>
      <c r="K51" s="129"/>
      <c r="L51" s="130"/>
      <c r="N51" s="47"/>
      <c r="O51" s="75"/>
    </row>
    <row r="52" spans="1:15" ht="15.95" customHeight="1" x14ac:dyDescent="0.2">
      <c r="A52" s="33">
        <f t="shared" si="1"/>
        <v>48</v>
      </c>
      <c r="B52" s="79" t="s">
        <v>135</v>
      </c>
      <c r="C52" s="129"/>
      <c r="D52" s="129"/>
      <c r="E52" s="129"/>
      <c r="F52" s="129"/>
      <c r="G52" s="129"/>
      <c r="H52" s="129"/>
      <c r="I52" s="129"/>
      <c r="J52" s="129"/>
      <c r="K52" s="129"/>
      <c r="L52" s="130"/>
      <c r="N52" s="47"/>
      <c r="O52" s="75"/>
    </row>
    <row r="53" spans="1:15" ht="15.95" customHeight="1" x14ac:dyDescent="0.2">
      <c r="A53" s="33">
        <f t="shared" si="1"/>
        <v>49</v>
      </c>
      <c r="B53" s="79" t="s">
        <v>136</v>
      </c>
      <c r="C53" s="79"/>
      <c r="D53" s="79"/>
      <c r="E53" s="79"/>
      <c r="F53" s="79"/>
      <c r="G53" s="79"/>
      <c r="H53" s="79"/>
      <c r="I53" s="79"/>
      <c r="J53" s="79"/>
      <c r="K53" s="79"/>
      <c r="L53" s="131"/>
      <c r="N53" s="112"/>
      <c r="O53" s="75"/>
    </row>
    <row r="54" spans="1:15" ht="15.95" customHeight="1" x14ac:dyDescent="0.2">
      <c r="A54" s="33">
        <f t="shared" si="1"/>
        <v>50</v>
      </c>
      <c r="B54" s="79" t="s">
        <v>137</v>
      </c>
      <c r="C54" s="79"/>
      <c r="D54" s="79"/>
      <c r="E54" s="79"/>
      <c r="F54" s="79"/>
      <c r="G54" s="79"/>
      <c r="H54" s="79"/>
      <c r="I54" s="79"/>
      <c r="J54" s="79"/>
      <c r="K54" s="79"/>
      <c r="L54" s="131"/>
      <c r="N54" s="112"/>
      <c r="O54" s="75"/>
    </row>
    <row r="55" spans="1:15" ht="15.95" customHeight="1" x14ac:dyDescent="0.2">
      <c r="A55" s="33">
        <f t="shared" si="1"/>
        <v>51</v>
      </c>
      <c r="B55" s="79" t="s">
        <v>138</v>
      </c>
      <c r="C55" s="79"/>
      <c r="D55" s="79"/>
      <c r="E55" s="79"/>
      <c r="F55" s="79"/>
      <c r="G55" s="79"/>
      <c r="H55" s="79"/>
      <c r="I55" s="79"/>
      <c r="J55" s="79"/>
      <c r="K55" s="79"/>
      <c r="L55" s="131"/>
      <c r="N55" s="47"/>
      <c r="O55" s="75"/>
    </row>
    <row r="56" spans="1:15" ht="15.95" customHeight="1" x14ac:dyDescent="0.2">
      <c r="A56" s="33">
        <f t="shared" si="1"/>
        <v>52</v>
      </c>
      <c r="B56" s="79" t="s">
        <v>139</v>
      </c>
      <c r="C56" s="79"/>
      <c r="D56" s="79"/>
      <c r="E56" s="79"/>
      <c r="F56" s="79"/>
      <c r="G56" s="79"/>
      <c r="H56" s="79"/>
      <c r="I56" s="79"/>
      <c r="J56" s="79"/>
      <c r="K56" s="79"/>
      <c r="L56" s="131"/>
      <c r="N56" s="47"/>
      <c r="O56" s="75"/>
    </row>
    <row r="57" spans="1:15" ht="15.95" customHeight="1" x14ac:dyDescent="0.2">
      <c r="A57" s="33">
        <f t="shared" si="1"/>
        <v>53</v>
      </c>
      <c r="B57" s="79" t="s">
        <v>140</v>
      </c>
      <c r="C57" s="79"/>
      <c r="D57" s="79"/>
      <c r="E57" s="79"/>
      <c r="F57" s="79"/>
      <c r="G57" s="79"/>
      <c r="H57" s="79"/>
      <c r="I57" s="79"/>
      <c r="J57" s="79"/>
      <c r="K57" s="79"/>
      <c r="L57" s="131"/>
      <c r="N57" s="47"/>
      <c r="O57" s="75"/>
    </row>
    <row r="58" spans="1:15" ht="15.95" customHeight="1" x14ac:dyDescent="0.2">
      <c r="A58" s="33">
        <f t="shared" si="1"/>
        <v>54</v>
      </c>
      <c r="B58" s="79" t="s">
        <v>141</v>
      </c>
      <c r="C58" s="79"/>
      <c r="D58" s="79"/>
      <c r="E58" s="79"/>
      <c r="F58" s="79"/>
      <c r="G58" s="79"/>
      <c r="H58" s="79"/>
      <c r="I58" s="79"/>
      <c r="J58" s="79"/>
      <c r="K58" s="79"/>
      <c r="L58" s="131"/>
      <c r="N58" s="47"/>
      <c r="O58" s="75"/>
    </row>
    <row r="59" spans="1:15" ht="15.95" customHeight="1" x14ac:dyDescent="0.2">
      <c r="A59" s="29">
        <f t="shared" si="1"/>
        <v>55</v>
      </c>
      <c r="B59" s="104" t="s">
        <v>142</v>
      </c>
      <c r="C59" s="104"/>
      <c r="D59" s="104"/>
      <c r="E59" s="104"/>
      <c r="F59" s="104"/>
      <c r="G59" s="104"/>
      <c r="H59" s="104"/>
      <c r="I59" s="104"/>
      <c r="J59" s="104"/>
      <c r="K59" s="104"/>
      <c r="L59" s="144"/>
      <c r="M59" s="117"/>
      <c r="N59" s="48"/>
      <c r="O59" s="74"/>
    </row>
    <row r="60" spans="1:15" ht="15.95" customHeight="1" x14ac:dyDescent="0.2">
      <c r="A60" s="7"/>
      <c r="N60" s="10"/>
      <c r="O60" s="7"/>
    </row>
    <row r="61" spans="1:15" ht="15.95" customHeight="1" x14ac:dyDescent="0.2">
      <c r="A61" s="7"/>
      <c r="N61" s="106"/>
      <c r="O61" s="7"/>
    </row>
    <row r="62" spans="1:15" ht="15.95" customHeight="1" x14ac:dyDescent="0.2">
      <c r="A62" s="7"/>
      <c r="N62" s="106"/>
      <c r="O62" s="7"/>
    </row>
    <row r="63" spans="1:15" ht="15.95" customHeight="1" x14ac:dyDescent="0.2">
      <c r="A63" s="7"/>
      <c r="N63" s="65"/>
      <c r="O63" s="7"/>
    </row>
    <row r="64" spans="1:15" ht="15.95" customHeight="1" x14ac:dyDescent="0.2">
      <c r="A64" s="7"/>
      <c r="N64" s="65"/>
      <c r="O64" s="7"/>
    </row>
    <row r="65" spans="1:15" ht="15.95" customHeight="1" x14ac:dyDescent="0.2">
      <c r="A65" s="7"/>
      <c r="N65" s="65"/>
      <c r="O65" s="7"/>
    </row>
    <row r="66" spans="1:15" ht="15.95" customHeight="1" x14ac:dyDescent="0.2">
      <c r="A66" s="7"/>
      <c r="N66" s="65"/>
      <c r="O66" s="7"/>
    </row>
    <row r="67" spans="1:15" ht="15.95" customHeight="1" x14ac:dyDescent="0.2">
      <c r="A67" s="7"/>
      <c r="N67" s="65"/>
      <c r="O67" s="7"/>
    </row>
    <row r="68" spans="1:15" ht="15.95" customHeight="1" x14ac:dyDescent="0.2">
      <c r="A68" s="7"/>
      <c r="N68" s="65"/>
      <c r="O68" s="7"/>
    </row>
    <row r="69" spans="1:15" ht="15.95" customHeight="1" x14ac:dyDescent="0.2">
      <c r="A69" s="7"/>
      <c r="N69" s="65"/>
      <c r="O69" s="7"/>
    </row>
    <row r="70" spans="1:15" ht="15.95" customHeight="1" x14ac:dyDescent="0.2">
      <c r="A70" s="7"/>
    </row>
    <row r="71" spans="1:15" ht="15.95" customHeight="1" x14ac:dyDescent="0.2">
      <c r="A71" s="7"/>
    </row>
    <row r="72" spans="1:15" ht="15.95" customHeight="1" x14ac:dyDescent="0.2">
      <c r="A72" s="7"/>
    </row>
    <row r="73" spans="1:15" ht="15.95" customHeight="1" x14ac:dyDescent="0.2">
      <c r="A73" s="7"/>
    </row>
    <row r="74" spans="1:15" ht="15.95" customHeight="1" x14ac:dyDescent="0.2">
      <c r="A74" s="7"/>
    </row>
    <row r="75" spans="1:15" ht="15.95" customHeight="1" x14ac:dyDescent="0.2">
      <c r="A75" s="7"/>
    </row>
    <row r="76" spans="1:15" ht="15.95" customHeight="1" x14ac:dyDescent="0.2">
      <c r="A76" s="7"/>
    </row>
    <row r="77" spans="1:15" ht="15.95" customHeight="1" x14ac:dyDescent="0.2">
      <c r="A77" s="7"/>
    </row>
    <row r="78" spans="1:15" ht="15.95" customHeight="1" x14ac:dyDescent="0.2">
      <c r="A78" s="7"/>
    </row>
    <row r="79" spans="1:15" ht="15.95" customHeight="1" x14ac:dyDescent="0.2">
      <c r="A79" s="7"/>
    </row>
    <row r="80" spans="1:15" ht="15.95" customHeight="1" x14ac:dyDescent="0.2">
      <c r="A80" s="7"/>
    </row>
  </sheetData>
  <mergeCells count="7">
    <mergeCell ref="F3:H3"/>
    <mergeCell ref="I3:K3"/>
    <mergeCell ref="L3:L4"/>
    <mergeCell ref="A1:O1"/>
    <mergeCell ref="A3:A4"/>
    <mergeCell ref="B3:B4"/>
    <mergeCell ref="C3:E3"/>
  </mergeCells>
  <phoneticPr fontId="2" type="noConversion"/>
  <pageMargins left="0.75" right="0.75" top="0.5" bottom="0.5" header="0.5" footer="0.5"/>
  <pageSetup orientation="landscape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B1:D22"/>
  <sheetViews>
    <sheetView workbookViewId="0">
      <selection activeCell="D25" sqref="D25"/>
    </sheetView>
  </sheetViews>
  <sheetFormatPr defaultRowHeight="15.95" customHeight="1" x14ac:dyDescent="0.2"/>
  <cols>
    <col min="1" max="1" width="4.5703125" customWidth="1"/>
    <col min="2" max="2" width="31.85546875" customWidth="1"/>
    <col min="3" max="3" width="10" customWidth="1"/>
  </cols>
  <sheetData>
    <row r="1" spans="2:4" ht="23.25" customHeight="1" x14ac:dyDescent="0.25">
      <c r="B1" s="51" t="s">
        <v>57</v>
      </c>
    </row>
    <row r="3" spans="2:4" ht="15.95" customHeight="1" x14ac:dyDescent="0.2">
      <c r="B3" t="s">
        <v>148</v>
      </c>
    </row>
    <row r="4" spans="2:4" ht="15.95" customHeight="1" x14ac:dyDescent="0.2">
      <c r="B4" t="s">
        <v>149</v>
      </c>
    </row>
    <row r="5" spans="2:4" ht="15.95" customHeight="1" x14ac:dyDescent="0.2">
      <c r="B5" t="s">
        <v>152</v>
      </c>
    </row>
    <row r="7" spans="2:4" ht="15.95" customHeight="1" x14ac:dyDescent="0.2">
      <c r="B7" s="181" t="s">
        <v>163</v>
      </c>
    </row>
    <row r="8" spans="2:4" ht="15.95" customHeight="1" x14ac:dyDescent="0.2">
      <c r="B8" t="s">
        <v>150</v>
      </c>
    </row>
    <row r="9" spans="2:4" ht="15.95" customHeight="1" x14ac:dyDescent="0.2">
      <c r="B9" t="s">
        <v>151</v>
      </c>
    </row>
    <row r="11" spans="2:4" ht="15.95" customHeight="1" x14ac:dyDescent="0.2">
      <c r="B11" t="s">
        <v>153</v>
      </c>
    </row>
    <row r="12" spans="2:4" ht="15.95" customHeight="1" x14ac:dyDescent="0.25">
      <c r="B12" s="55" t="s">
        <v>58</v>
      </c>
      <c r="C12" s="55"/>
      <c r="D12" s="52"/>
    </row>
    <row r="13" spans="2:4" ht="15.95" customHeight="1" x14ac:dyDescent="0.25">
      <c r="B13" s="53" t="s">
        <v>59</v>
      </c>
      <c r="C13" s="54">
        <v>0.05</v>
      </c>
      <c r="D13" s="52"/>
    </row>
    <row r="14" spans="2:4" ht="15.95" customHeight="1" x14ac:dyDescent="0.25">
      <c r="B14" s="53" t="s">
        <v>60</v>
      </c>
      <c r="C14" s="54">
        <v>0.04</v>
      </c>
      <c r="D14" s="52"/>
    </row>
    <row r="15" spans="2:4" ht="15.95" customHeight="1" x14ac:dyDescent="0.25">
      <c r="B15" s="53" t="s">
        <v>61</v>
      </c>
      <c r="C15" s="54">
        <v>0.03</v>
      </c>
      <c r="D15" s="52"/>
    </row>
    <row r="16" spans="2:4" ht="15.95" customHeight="1" x14ac:dyDescent="0.25">
      <c r="B16" s="53" t="s">
        <v>62</v>
      </c>
      <c r="C16" s="54">
        <v>0</v>
      </c>
      <c r="D16" s="52"/>
    </row>
    <row r="17" spans="2:4" ht="15.95" customHeight="1" x14ac:dyDescent="0.25">
      <c r="B17" s="53" t="s">
        <v>63</v>
      </c>
      <c r="C17" s="54">
        <v>0</v>
      </c>
      <c r="D17" s="52"/>
    </row>
    <row r="18" spans="2:4" ht="15.95" customHeight="1" x14ac:dyDescent="0.25">
      <c r="B18" s="53" t="s">
        <v>64</v>
      </c>
      <c r="C18" s="54">
        <v>-0.01</v>
      </c>
      <c r="D18" s="52"/>
    </row>
    <row r="19" spans="2:4" ht="15.95" customHeight="1" x14ac:dyDescent="0.2">
      <c r="B19" s="52"/>
      <c r="C19" s="52"/>
      <c r="D19" s="52"/>
    </row>
    <row r="20" spans="2:4" ht="15.95" customHeight="1" x14ac:dyDescent="0.25">
      <c r="B20" s="55" t="s">
        <v>154</v>
      </c>
      <c r="C20" s="52"/>
      <c r="D20" s="52"/>
    </row>
    <row r="21" spans="2:4" ht="15.95" customHeight="1" x14ac:dyDescent="0.2">
      <c r="B21" s="182" t="s">
        <v>164</v>
      </c>
    </row>
    <row r="22" spans="2:4" ht="15.95" customHeight="1" x14ac:dyDescent="0.2">
      <c r="B22" s="52" t="s">
        <v>155</v>
      </c>
    </row>
  </sheetData>
  <phoneticPr fontId="2" type="noConversion"/>
  <pageMargins left="0.75" right="0.75" top="1" bottom="1" header="0.5" footer="0.5"/>
  <pageSetup orientation="landscape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G33"/>
  <sheetViews>
    <sheetView workbookViewId="0">
      <selection activeCell="E28" sqref="E28"/>
    </sheetView>
  </sheetViews>
  <sheetFormatPr defaultRowHeight="15.95" customHeight="1" x14ac:dyDescent="0.2"/>
  <cols>
    <col min="1" max="1" width="4.140625" style="3" customWidth="1"/>
    <col min="2" max="2" width="32.85546875" customWidth="1"/>
    <col min="3" max="3" width="14" customWidth="1"/>
    <col min="4" max="4" width="14.42578125" customWidth="1"/>
    <col min="5" max="5" width="13.7109375" customWidth="1"/>
    <col min="6" max="6" width="14.42578125" customWidth="1"/>
    <col min="7" max="7" width="13.7109375" customWidth="1"/>
  </cols>
  <sheetData>
    <row r="1" spans="1:7" ht="21.75" customHeight="1" x14ac:dyDescent="0.25">
      <c r="A1" s="201" t="s">
        <v>55</v>
      </c>
      <c r="B1" s="201"/>
      <c r="C1" s="201"/>
      <c r="D1" s="201"/>
      <c r="E1" s="201"/>
      <c r="F1" s="201"/>
      <c r="G1" s="201"/>
    </row>
    <row r="2" spans="1:7" ht="11.25" customHeight="1" x14ac:dyDescent="0.2"/>
    <row r="3" spans="1:7" ht="15.95" customHeight="1" x14ac:dyDescent="0.2">
      <c r="A3" s="183" t="s">
        <v>37</v>
      </c>
      <c r="B3" s="183" t="s">
        <v>0</v>
      </c>
      <c r="C3" s="202" t="s">
        <v>112</v>
      </c>
      <c r="D3" s="199" t="s">
        <v>108</v>
      </c>
      <c r="E3" s="199" t="s">
        <v>109</v>
      </c>
      <c r="F3" s="199" t="s">
        <v>110</v>
      </c>
      <c r="G3" s="199" t="s">
        <v>111</v>
      </c>
    </row>
    <row r="4" spans="1:7" ht="23.25" customHeight="1" x14ac:dyDescent="0.2">
      <c r="A4" s="196"/>
      <c r="B4" s="196"/>
      <c r="C4" s="203"/>
      <c r="D4" s="200"/>
      <c r="E4" s="200"/>
      <c r="F4" s="200"/>
      <c r="G4" s="200"/>
    </row>
    <row r="5" spans="1:7" ht="15.95" customHeight="1" x14ac:dyDescent="0.2">
      <c r="A5" s="87">
        <v>1</v>
      </c>
      <c r="B5" s="92" t="s">
        <v>11</v>
      </c>
      <c r="C5" s="93">
        <v>800000</v>
      </c>
      <c r="D5" s="50">
        <f>(150/100)*C5</f>
        <v>1200000</v>
      </c>
      <c r="E5" s="50">
        <f>(125/100)*C5</f>
        <v>1000000</v>
      </c>
      <c r="F5" s="50">
        <f>(100/100)*C5</f>
        <v>800000</v>
      </c>
      <c r="G5" s="50">
        <f>(80/100)*D5</f>
        <v>960000</v>
      </c>
    </row>
    <row r="6" spans="1:7" ht="15.95" customHeight="1" x14ac:dyDescent="0.2">
      <c r="A6" s="11">
        <v>2</v>
      </c>
      <c r="B6" s="12" t="s">
        <v>12</v>
      </c>
      <c r="C6" s="94">
        <v>600000</v>
      </c>
      <c r="D6" s="91">
        <f t="shared" ref="D6:D15" si="0">(150/100)*C6</f>
        <v>900000</v>
      </c>
      <c r="E6" s="91">
        <f t="shared" ref="E6:E15" si="1">(125/100)*C6</f>
        <v>750000</v>
      </c>
      <c r="F6" s="91">
        <f t="shared" ref="F6:F15" si="2">(100/100)*C6</f>
        <v>600000</v>
      </c>
      <c r="G6" s="91">
        <f t="shared" ref="G6:G16" si="3">(80/100)*D6</f>
        <v>720000</v>
      </c>
    </row>
    <row r="7" spans="1:7" ht="15.95" customHeight="1" x14ac:dyDescent="0.2">
      <c r="A7" s="11">
        <v>3</v>
      </c>
      <c r="B7" s="12" t="s">
        <v>94</v>
      </c>
      <c r="C7" s="94">
        <v>500000</v>
      </c>
      <c r="D7" s="91">
        <f t="shared" si="0"/>
        <v>750000</v>
      </c>
      <c r="E7" s="91">
        <f t="shared" si="1"/>
        <v>625000</v>
      </c>
      <c r="F7" s="91">
        <f t="shared" si="2"/>
        <v>500000</v>
      </c>
      <c r="G7" s="91">
        <f t="shared" si="3"/>
        <v>600000</v>
      </c>
    </row>
    <row r="8" spans="1:7" ht="15.95" customHeight="1" x14ac:dyDescent="0.2">
      <c r="A8" s="11">
        <v>4</v>
      </c>
      <c r="B8" s="12" t="s">
        <v>17</v>
      </c>
      <c r="C8" s="94">
        <v>500000</v>
      </c>
      <c r="D8" s="91">
        <f t="shared" si="0"/>
        <v>750000</v>
      </c>
      <c r="E8" s="91">
        <f t="shared" si="1"/>
        <v>625000</v>
      </c>
      <c r="F8" s="91">
        <f t="shared" si="2"/>
        <v>500000</v>
      </c>
      <c r="G8" s="91">
        <f t="shared" si="3"/>
        <v>600000</v>
      </c>
    </row>
    <row r="9" spans="1:7" ht="15.95" customHeight="1" x14ac:dyDescent="0.2">
      <c r="A9" s="11">
        <v>5</v>
      </c>
      <c r="B9" s="12" t="s">
        <v>13</v>
      </c>
      <c r="C9" s="94">
        <v>450000</v>
      </c>
      <c r="D9" s="91">
        <f t="shared" si="0"/>
        <v>675000</v>
      </c>
      <c r="E9" s="91">
        <f t="shared" si="1"/>
        <v>562500</v>
      </c>
      <c r="F9" s="91">
        <f t="shared" si="2"/>
        <v>450000</v>
      </c>
      <c r="G9" s="91">
        <f t="shared" si="3"/>
        <v>540000</v>
      </c>
    </row>
    <row r="10" spans="1:7" ht="15.95" customHeight="1" x14ac:dyDescent="0.2">
      <c r="A10" s="11">
        <v>6</v>
      </c>
      <c r="B10" s="12" t="s">
        <v>93</v>
      </c>
      <c r="C10" s="94">
        <v>450000</v>
      </c>
      <c r="D10" s="91">
        <f t="shared" si="0"/>
        <v>675000</v>
      </c>
      <c r="E10" s="91">
        <f t="shared" si="1"/>
        <v>562500</v>
      </c>
      <c r="F10" s="91">
        <f t="shared" si="2"/>
        <v>450000</v>
      </c>
      <c r="G10" s="91">
        <f t="shared" si="3"/>
        <v>540000</v>
      </c>
    </row>
    <row r="11" spans="1:7" ht="15.95" customHeight="1" x14ac:dyDescent="0.2">
      <c r="A11" s="11">
        <v>7</v>
      </c>
      <c r="B11" s="12" t="s">
        <v>121</v>
      </c>
      <c r="C11" s="94">
        <v>350000</v>
      </c>
      <c r="D11" s="91">
        <f t="shared" si="0"/>
        <v>525000</v>
      </c>
      <c r="E11" s="91">
        <f t="shared" si="1"/>
        <v>437500</v>
      </c>
      <c r="F11" s="91">
        <f t="shared" si="2"/>
        <v>350000</v>
      </c>
      <c r="G11" s="91">
        <f t="shared" si="3"/>
        <v>420000</v>
      </c>
    </row>
    <row r="12" spans="1:7" ht="15.95" customHeight="1" x14ac:dyDescent="0.2">
      <c r="A12" s="11">
        <v>8</v>
      </c>
      <c r="B12" s="12" t="s">
        <v>23</v>
      </c>
      <c r="C12" s="94">
        <v>350000</v>
      </c>
      <c r="D12" s="91">
        <f t="shared" si="0"/>
        <v>525000</v>
      </c>
      <c r="E12" s="91">
        <f t="shared" si="1"/>
        <v>437500</v>
      </c>
      <c r="F12" s="91">
        <f t="shared" si="2"/>
        <v>350000</v>
      </c>
      <c r="G12" s="91">
        <f t="shared" si="3"/>
        <v>420000</v>
      </c>
    </row>
    <row r="13" spans="1:7" ht="15.95" customHeight="1" x14ac:dyDescent="0.2">
      <c r="A13" s="11">
        <v>9</v>
      </c>
      <c r="B13" s="12" t="s">
        <v>24</v>
      </c>
      <c r="C13" s="94">
        <v>300000</v>
      </c>
      <c r="D13" s="91">
        <f t="shared" si="0"/>
        <v>450000</v>
      </c>
      <c r="E13" s="91">
        <f t="shared" si="1"/>
        <v>375000</v>
      </c>
      <c r="F13" s="91">
        <f t="shared" si="2"/>
        <v>300000</v>
      </c>
      <c r="G13" s="91">
        <f t="shared" si="3"/>
        <v>360000</v>
      </c>
    </row>
    <row r="14" spans="1:7" ht="15.95" customHeight="1" x14ac:dyDescent="0.2">
      <c r="A14" s="11">
        <v>10</v>
      </c>
      <c r="B14" s="12" t="s">
        <v>21</v>
      </c>
      <c r="C14" s="94">
        <v>300000</v>
      </c>
      <c r="D14" s="91">
        <f t="shared" si="0"/>
        <v>450000</v>
      </c>
      <c r="E14" s="91">
        <f t="shared" si="1"/>
        <v>375000</v>
      </c>
      <c r="F14" s="91">
        <f t="shared" si="2"/>
        <v>300000</v>
      </c>
      <c r="G14" s="91">
        <f t="shared" si="3"/>
        <v>360000</v>
      </c>
    </row>
    <row r="15" spans="1:7" ht="15.95" customHeight="1" x14ac:dyDescent="0.2">
      <c r="A15" s="11">
        <v>11</v>
      </c>
      <c r="B15" s="12" t="s">
        <v>22</v>
      </c>
      <c r="C15" s="94">
        <v>200000</v>
      </c>
      <c r="D15" s="91">
        <f t="shared" si="0"/>
        <v>300000</v>
      </c>
      <c r="E15" s="91">
        <f t="shared" si="1"/>
        <v>250000</v>
      </c>
      <c r="F15" s="91">
        <f t="shared" si="2"/>
        <v>200000</v>
      </c>
      <c r="G15" s="91">
        <f t="shared" si="3"/>
        <v>240000</v>
      </c>
    </row>
    <row r="16" spans="1:7" ht="15.95" customHeight="1" x14ac:dyDescent="0.2">
      <c r="A16" s="16">
        <v>12</v>
      </c>
      <c r="B16" s="17" t="s">
        <v>95</v>
      </c>
      <c r="C16" s="95">
        <v>200000</v>
      </c>
      <c r="D16" s="49">
        <f>(100/100)*C16</f>
        <v>200000</v>
      </c>
      <c r="E16" s="49">
        <f>(90/100)*C16</f>
        <v>180000</v>
      </c>
      <c r="F16" s="49">
        <f>(80/100)*C16</f>
        <v>160000</v>
      </c>
      <c r="G16" s="49">
        <f t="shared" si="3"/>
        <v>160000</v>
      </c>
    </row>
    <row r="17" spans="2:6" ht="19.5" customHeight="1" x14ac:dyDescent="0.2"/>
    <row r="18" spans="2:6" ht="15.95" customHeight="1" x14ac:dyDescent="0.2">
      <c r="B18" s="63" t="s">
        <v>55</v>
      </c>
    </row>
    <row r="19" spans="2:6" ht="15.95" customHeight="1" x14ac:dyDescent="0.2">
      <c r="B19" s="63" t="s">
        <v>96</v>
      </c>
      <c r="C19" s="63"/>
      <c r="D19" s="63"/>
      <c r="E19" s="63" t="s">
        <v>100</v>
      </c>
      <c r="F19" s="63"/>
    </row>
    <row r="20" spans="2:6" ht="15.95" customHeight="1" x14ac:dyDescent="0.2">
      <c r="B20" s="62" t="s">
        <v>103</v>
      </c>
      <c r="E20" s="62" t="s">
        <v>113</v>
      </c>
    </row>
    <row r="21" spans="2:6" ht="15.95" customHeight="1" x14ac:dyDescent="0.2">
      <c r="B21" t="s">
        <v>104</v>
      </c>
      <c r="E21" s="62" t="s">
        <v>114</v>
      </c>
    </row>
    <row r="22" spans="2:6" ht="15.95" customHeight="1" x14ac:dyDescent="0.2">
      <c r="B22" s="62" t="s">
        <v>97</v>
      </c>
      <c r="E22" s="62" t="s">
        <v>106</v>
      </c>
    </row>
    <row r="23" spans="2:6" ht="15.95" customHeight="1" x14ac:dyDescent="0.2">
      <c r="B23" s="62" t="s">
        <v>98</v>
      </c>
    </row>
    <row r="25" spans="2:6" ht="15.95" customHeight="1" x14ac:dyDescent="0.2">
      <c r="B25" s="63" t="s">
        <v>99</v>
      </c>
      <c r="C25" s="63"/>
      <c r="D25" s="63"/>
      <c r="E25" s="63" t="s">
        <v>107</v>
      </c>
    </row>
    <row r="26" spans="2:6" ht="15.95" customHeight="1" x14ac:dyDescent="0.2">
      <c r="B26" s="62" t="s">
        <v>101</v>
      </c>
      <c r="E26" s="62" t="s">
        <v>113</v>
      </c>
    </row>
    <row r="27" spans="2:6" ht="15.95" customHeight="1" x14ac:dyDescent="0.2">
      <c r="B27" s="62" t="s">
        <v>105</v>
      </c>
      <c r="E27" s="62" t="s">
        <v>114</v>
      </c>
    </row>
    <row r="28" spans="2:6" ht="15.95" customHeight="1" x14ac:dyDescent="0.2">
      <c r="B28" s="62" t="s">
        <v>102</v>
      </c>
      <c r="E28" s="62" t="s">
        <v>102</v>
      </c>
    </row>
    <row r="31" spans="2:6" ht="15.95" customHeight="1" x14ac:dyDescent="0.2">
      <c r="B31" s="62"/>
    </row>
    <row r="32" spans="2:6" ht="15.95" customHeight="1" x14ac:dyDescent="0.2">
      <c r="B32" s="62"/>
    </row>
    <row r="33" spans="2:2" ht="15.95" customHeight="1" x14ac:dyDescent="0.2">
      <c r="B33" s="62"/>
    </row>
  </sheetData>
  <mergeCells count="8">
    <mergeCell ref="G3:G4"/>
    <mergeCell ref="A1:G1"/>
    <mergeCell ref="A3:A4"/>
    <mergeCell ref="B3:B4"/>
    <mergeCell ref="C3:C4"/>
    <mergeCell ref="D3:D4"/>
    <mergeCell ref="E3:E4"/>
    <mergeCell ref="F3:F4"/>
  </mergeCells>
  <phoneticPr fontId="2" type="noConversion"/>
  <pageMargins left="0.75" right="0.75" top="0.5" bottom="0.5" header="0.5" footer="0.5"/>
  <pageSetup orientation="landscape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Skor </vt:lpstr>
      <vt:lpstr>Struktur Gaji</vt:lpstr>
      <vt:lpstr>Tunjangan</vt:lpstr>
      <vt:lpstr>Tunjangan 2</vt:lpstr>
      <vt:lpstr>Kenaikan Gaji</vt:lpstr>
      <vt:lpstr>Tunjangan Proyek</vt:lpstr>
    </vt:vector>
  </TitlesOfParts>
  <Company>Computer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Yodhia Antariksa</cp:lastModifiedBy>
  <cp:lastPrinted>2005-01-09T02:27:51Z</cp:lastPrinted>
  <dcterms:created xsi:type="dcterms:W3CDTF">2004-09-26T15:11:46Z</dcterms:created>
  <dcterms:modified xsi:type="dcterms:W3CDTF">2016-09-13T03:00:19Z</dcterms:modified>
</cp:coreProperties>
</file>